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3" autoFilterDateGrouping="1"/>
  </bookViews>
  <sheets>
    <sheet xmlns:r="http://schemas.openxmlformats.org/officeDocument/2006/relationships" name="aggregate_metrics" sheetId="1" state="visible" r:id="rId1"/>
    <sheet xmlns:r="http://schemas.openxmlformats.org/officeDocument/2006/relationships" name="Expanded Table" sheetId="2" state="visible" r:id="rId2"/>
    <sheet xmlns:r="http://schemas.openxmlformats.org/officeDocument/2006/relationships" name="Ownership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HUC" sheetId="5" state="visible" r:id="rId5"/>
    <sheet xmlns:r="http://schemas.openxmlformats.org/officeDocument/2006/relationships" name="Hydrography" sheetId="6" state="visible" r:id="rId6"/>
    <sheet xmlns:r="http://schemas.openxmlformats.org/officeDocument/2006/relationships" name="Waterbodies" sheetId="7" state="visible" r:id="rId7"/>
    <sheet xmlns:r="http://schemas.openxmlformats.org/officeDocument/2006/relationships" name="Climate" sheetId="8" state="visible" r:id="rId8"/>
    <sheet xmlns:r="http://schemas.openxmlformats.org/officeDocument/2006/relationships" name="Morphometric" sheetId="9" state="visible" r:id="rId9"/>
    <sheet xmlns:r="http://schemas.openxmlformats.org/officeDocument/2006/relationships" name="aggregatedata" sheetId="10" state="visible" r:id="rId10"/>
  </sheets>
  <definedNames>
    <definedName name="acres_per_sqkm">Units!$C$2</definedName>
    <definedName name="mi_per_km">Units!$C$4</definedName>
    <definedName name="tbl_ownership">Ownership!$A$2:$B$6</definedName>
    <definedName name="WatershedName">aggregate_metrics!$B$2</definedName>
    <definedName name="sum_hucareasqkm">'aggregatedata'!$B$2</definedName>
    <definedName name="sum_flowlinelengthperennialkm">'aggregatedata'!$B$3</definedName>
    <definedName name="sum_flowlinelengthintermittentkm">'aggregatedata'!$B$4</definedName>
    <definedName name="sum_flowlinelengthephemeralkm">'aggregatedata'!$B$5</definedName>
    <definedName name="sum_flowlinelengthcanalskm">'aggregatedata'!$B$6</definedName>
    <definedName name="sum_flowlinelengthallkm">'aggregatedata'!$B$7</definedName>
    <definedName name="sum_flowlinefeaturecount">'aggregatedata'!$B$8</definedName>
    <definedName name="sum_waterbodyareasqkm">'aggregatedata'!$B$9</definedName>
    <definedName name="sum_waterbodyfeaturecount">'aggregatedata'!$B$10</definedName>
    <definedName name="sum_waterbodylakespondsareasqkm">'aggregatedata'!$B$11</definedName>
    <definedName name="sum_waterbodylakespondsfeaturecount">'aggregatedata'!$B$12</definedName>
    <definedName name="sum_waterbodyreservoirareasqkm">'aggregatedata'!$B$13</definedName>
    <definedName name="sum_waterbodyreservoirfeaturecount">'aggregatedata'!$B$14</definedName>
    <definedName name="sum_waterbodyestuariesareasqkm">'aggregatedata'!$B$15</definedName>
    <definedName name="sum_waterbodyestuariesfeaturecount">'aggregatedata'!$B$16</definedName>
    <definedName name="sum_waterbodyplayaareasqkm">'aggregatedata'!$B$17</definedName>
    <definedName name="sum_waterbodyplayafeaturecount">'aggregatedata'!$B$18</definedName>
    <definedName name="sum_waterbodyswampmarshareasqkm">'aggregatedata'!$B$19</definedName>
    <definedName name="sum_waterbodyswampmarshfeaturecount">'aggregatedata'!$B$20</definedName>
    <definedName name="sum_waterbodyicesnowareasqkm">'aggregatedata'!$B$21</definedName>
    <definedName name="sum_waterbodyicesnowfeaturecount">'aggregatedata'!$B$22</definedName>
    <definedName name="sum_demsum">'aggregatedata'!$B$23</definedName>
    <definedName name="sum_demcount">'aggregatedata'!$B$24</definedName>
    <definedName name="sum_slopesum">'aggregatedata'!$B$25</definedName>
    <definedName name="sum_slopecount">'aggregatedata'!$B$26</definedName>
    <definedName name="sum_precipsum">'aggregatedata'!$B$27</definedName>
    <definedName name="sum_precipcount">'aggregatedata'!$B$28</definedName>
    <definedName name="sum_catchmentlength">'aggregatedata'!$B$29</definedName>
    <definedName name="sum_catchmentarea">'aggregatedata'!$B$30</definedName>
    <definedName name="min_demminimum">'aggregatedata'!$B$31</definedName>
    <definedName name="min_slopeminimum">'aggregatedata'!$B$32</definedName>
    <definedName name="min_precipminimum">'aggregatedata'!$B$33</definedName>
    <definedName name="min_circularityratio">'aggregatedata'!$B$34</definedName>
    <definedName name="min_elongationratio">'aggregatedata'!$B$35</definedName>
    <definedName name="min_formfactor">'aggregatedata'!$B$36</definedName>
    <definedName name="max_demmaximum">'aggregatedata'!$B$37</definedName>
    <definedName name="max_slopemaximum">'aggregatedata'!$B$38</definedName>
    <definedName name="max_precipmaximum">'aggregatedata'!$B$39</definedName>
    <definedName name="countdistinct_huc">'aggregatedata'!$B$40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%"/>
  </numFmts>
  <fonts count="11">
    <font>
      <name val="Arial"/>
      <color rgb="FF000000"/>
      <sz val="10"/>
      <scheme val="minor"/>
    </font>
    <font>
      <name val="Karla"/>
      <color theme="1"/>
      <sz val="10"/>
    </font>
    <font>
      <name val="Consolas"/>
      <color theme="1"/>
      <sz val="11"/>
    </font>
    <font>
      <name val="JetBrains Mono"/>
      <color theme="1"/>
      <sz val="10"/>
    </font>
    <font>
      <name val="Karla"/>
      <i val="1"/>
      <color theme="1"/>
      <sz val="10"/>
    </font>
    <font>
      <name val="Karla"/>
      <color theme="1"/>
      <sz val="9"/>
    </font>
    <font>
      <name val="Arial"/>
      <sz val="10"/>
    </font>
    <font>
      <name val="Karla"/>
      <b val="1"/>
      <color theme="1"/>
      <sz val="10"/>
    </font>
    <font>
      <name val="JetBrains Mono"/>
      <color theme="1"/>
      <sz val="9"/>
    </font>
    <font>
      <name val="Arial"/>
      <color theme="1"/>
      <sz val="14"/>
      <scheme val="major"/>
    </font>
    <font>
      <name val="Arial"/>
      <color rgb="FF000000"/>
      <sz val="14"/>
      <scheme val="major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left"/>
    </xf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4" fillId="0" borderId="7" pivotButton="0" quotePrefix="0" xfId="0"/>
    <xf numFmtId="164" fontId="1" fillId="0" borderId="0" pivotButton="0" quotePrefix="0" xfId="0"/>
    <xf numFmtId="165" fontId="1" fillId="0" borderId="8" pivotButton="0" quotePrefix="0" xfId="0"/>
    <xf numFmtId="0" fontId="4" fillId="0" borderId="9" pivotButton="0" quotePrefix="0" xfId="0"/>
    <xf numFmtId="165" fontId="1" fillId="0" borderId="7" pivotButton="0" quotePrefix="0" xfId="0"/>
    <xf numFmtId="0" fontId="1" fillId="0" borderId="10" pivotButton="0" quotePrefix="0" xfId="0"/>
    <xf numFmtId="164" fontId="1" fillId="0" borderId="7" pivotButton="0" quotePrefix="0" xfId="0"/>
    <xf numFmtId="166" fontId="1" fillId="0" borderId="7" pivotButton="0" quotePrefix="0" xfId="0"/>
    <xf numFmtId="166" fontId="1" fillId="0" borderId="8" pivotButton="0" quotePrefix="0" xfId="0"/>
    <xf numFmtId="0" fontId="1" fillId="0" borderId="6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7" fillId="0" borderId="10" pivotButton="0" quotePrefix="0" xfId="0"/>
    <xf numFmtId="0" fontId="1" fillId="0" borderId="12" applyAlignment="1" pivotButton="0" quotePrefix="0" xfId="0">
      <alignment horizontal="center" wrapText="1"/>
    </xf>
    <xf numFmtId="0" fontId="1" fillId="0" borderId="12" applyAlignment="1" pivotButton="0" quotePrefix="0" xfId="0">
      <alignment horizontal="center"/>
    </xf>
    <xf numFmtId="164" fontId="1" fillId="0" borderId="10" pivotButton="0" quotePrefix="0" xfId="0"/>
    <xf numFmtId="0" fontId="1" fillId="0" borderId="5" applyAlignment="1" pivotButton="0" quotePrefix="0" xfId="0">
      <alignment horizontal="center"/>
    </xf>
    <xf numFmtId="0" fontId="4" fillId="0" borderId="11" pivotButton="0" quotePrefix="0" xfId="0"/>
    <xf numFmtId="166" fontId="1" fillId="0" borderId="10" pivotButton="0" quotePrefix="0" xfId="0"/>
    <xf numFmtId="0" fontId="4" fillId="0" borderId="10" pivotButton="0" quotePrefix="0" xfId="0"/>
    <xf numFmtId="2" fontId="1" fillId="0" borderId="1" applyAlignment="1" pivotButton="0" quotePrefix="0" xfId="0">
      <alignment horizontal="center"/>
    </xf>
    <xf numFmtId="3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165" fontId="1" fillId="0" borderId="2" applyAlignment="1" pivotButton="0" quotePrefix="0" xfId="0">
      <alignment horizontal="center"/>
    </xf>
    <xf numFmtId="4" fontId="1" fillId="0" borderId="2" applyAlignment="1" pivotButton="0" quotePrefix="0" xfId="0">
      <alignment horizontal="center"/>
    </xf>
    <xf numFmtId="0" fontId="1" fillId="0" borderId="13" pivotButton="0" quotePrefix="0" xfId="0"/>
    <xf numFmtId="164" fontId="1" fillId="0" borderId="13" pivotButton="0" quotePrefix="0" xfId="0"/>
    <xf numFmtId="0" fontId="4" fillId="0" borderId="13" pivotButton="0" quotePrefix="0" xfId="0"/>
    <xf numFmtId="2" fontId="1" fillId="0" borderId="0" pivotButton="0" quotePrefix="0" xfId="0"/>
    <xf numFmtId="165" fontId="1" fillId="0" borderId="14" pivotButton="0" quotePrefix="0" xfId="0"/>
    <xf numFmtId="2" fontId="1" fillId="0" borderId="4" applyAlignment="1" pivotButton="0" quotePrefix="0" xfId="0">
      <alignment horizontal="center"/>
    </xf>
    <xf numFmtId="0" fontId="4" fillId="0" borderId="15" pivotButton="0" quotePrefix="0" xfId="0"/>
    <xf numFmtId="165" fontId="1" fillId="0" borderId="13" pivotButton="0" quotePrefix="0" xfId="0"/>
    <xf numFmtId="10" fontId="1" fillId="0" borderId="14" pivotButton="0" quotePrefix="0" xfId="0"/>
    <xf numFmtId="165" fontId="4" fillId="0" borderId="7" pivotButton="0" quotePrefix="0" xfId="0"/>
    <xf numFmtId="0" fontId="4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horizontal="left"/>
    </xf>
    <xf numFmtId="3" fontId="1" fillId="0" borderId="16" applyAlignment="1" pivotButton="0" quotePrefix="0" xfId="0">
      <alignment horizontal="center"/>
    </xf>
    <xf numFmtId="166" fontId="1" fillId="0" borderId="16" applyAlignment="1" pivotButton="0" quotePrefix="0" xfId="0">
      <alignment horizontal="center"/>
    </xf>
    <xf numFmtId="2" fontId="1" fillId="0" borderId="10" applyAlignment="1" pivotButton="0" quotePrefix="0" xfId="0">
      <alignment horizontal="center"/>
    </xf>
    <xf numFmtId="3" fontId="1" fillId="0" borderId="17" applyAlignment="1" pivotButton="0" quotePrefix="0" xfId="0">
      <alignment horizontal="center"/>
    </xf>
    <xf numFmtId="166" fontId="1" fillId="0" borderId="17" applyAlignment="1" pivotButton="0" quotePrefix="0" xfId="0">
      <alignment horizontal="center"/>
    </xf>
    <xf numFmtId="4" fontId="1" fillId="0" borderId="17" applyAlignment="1" pivotButton="0" quotePrefix="0" xfId="0">
      <alignment horizontal="center"/>
    </xf>
    <xf numFmtId="165" fontId="1" fillId="0" borderId="17" applyAlignment="1" pivotButton="0" quotePrefix="0" xfId="0">
      <alignment horizontal="center"/>
    </xf>
    <xf numFmtId="166" fontId="1" fillId="0" borderId="0" pivotButton="0" quotePrefix="0" xfId="0"/>
    <xf numFmtId="4" fontId="1" fillId="0" borderId="18" applyAlignment="1" pivotButton="0" quotePrefix="0" xfId="0">
      <alignment horizontal="center"/>
    </xf>
    <xf numFmtId="0" fontId="1" fillId="3" borderId="0" pivotButton="0" quotePrefix="0" xfId="0"/>
    <xf numFmtId="0" fontId="1" fillId="0" borderId="4" applyAlignment="1" pivotButton="0" quotePrefix="0" xfId="0">
      <alignment horizontal="center"/>
    </xf>
    <xf numFmtId="165" fontId="1" fillId="0" borderId="5" applyAlignment="1" pivotButton="0" quotePrefix="0" xfId="0">
      <alignment horizontal="center"/>
    </xf>
    <xf numFmtId="164" fontId="1" fillId="0" borderId="4" applyAlignment="1" pivotButton="0" quotePrefix="0" xfId="0">
      <alignment horizontal="center"/>
    </xf>
    <xf numFmtId="165" fontId="1" fillId="0" borderId="18" pivotButton="0" quotePrefix="0" xfId="0"/>
    <xf numFmtId="0" fontId="8" fillId="0" borderId="7" pivotButton="0" quotePrefix="0" xfId="0"/>
    <xf numFmtId="2" fontId="1" fillId="0" borderId="7" pivotButton="0" quotePrefix="0" xfId="0"/>
    <xf numFmtId="0" fontId="8" fillId="0" borderId="0" pivotButton="0" quotePrefix="0" xfId="0"/>
    <xf numFmtId="0" fontId="5" fillId="0" borderId="10" applyAlignment="1" pivotButton="0" quotePrefix="0" xfId="0">
      <alignment horizontal="center"/>
    </xf>
    <xf numFmtId="165" fontId="5" fillId="0" borderId="10" applyAlignment="1" pivotButton="0" quotePrefix="0" xfId="0">
      <alignment horizontal="center"/>
    </xf>
    <xf numFmtId="165" fontId="5" fillId="0" borderId="8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165" fontId="1" fillId="0" borderId="1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6" fillId="0" borderId="10" pivotButton="0" quotePrefix="0" xfId="0"/>
    <xf numFmtId="0" fontId="6" fillId="0" borderId="11" pivotButton="0" quotePrefix="0" xfId="0"/>
    <xf numFmtId="0" fontId="6" fillId="0" borderId="7" pivotButton="0" quotePrefix="0" xfId="0"/>
    <xf numFmtId="0" fontId="6" fillId="0" borderId="1" pivotButton="0" quotePrefix="0" xfId="0"/>
    <xf numFmtId="0" fontId="6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7" pivotButton="0" quotePrefix="0" xfId="0"/>
    <xf numFmtId="0" fontId="5" fillId="0" borderId="11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/>
  </cellStyles>
  <dxfs count="3">
    <dxf>
      <font>
        <name val="Consolas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Consolas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Consolas"/>
        <strike val="0"/>
        <outline val="0"/>
        <shadow val="0"/>
        <condense val="0"/>
        <color theme="1"/>
        <extend val="0"/>
        <sz val="1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tc={67d0ee92-9f38-4fcd-9001-52ad1c946c59}</author>
    <author>tc={b3703c61-527b-4872-8415-1db0f3a12d4b}</author>
  </authors>
  <commentList>
    <comment ref="C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Watershed for consistency (and USA-centricity)</t>
      </text>
    </comment>
    <comment ref="E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(885.0) is not the sum of the flowline lengths above (883.2) due to presence of other flow types not included</t>
      </text>
    </comment>
  </commentList>
</comments>
</file>

<file path=xl/comments/comment2.xml><?xml version="1.0" encoding="utf-8"?>
<comments xmlns="http://schemas.openxmlformats.org/spreadsheetml/2006/main">
  <authors>
    <author>tc={503a1e1b-638e-46c4-9082-e8b08d0877fe}</author>
    <author>tc={45c112b6-48c2-49ea-be33-fd33529431d2}</author>
  </authors>
  <commentList>
    <comment ref="C1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1.7 km of "connector" not shown above</t>
      </text>
    </comment>
    <comment ref="G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above total to 99.8%. This is because there is 1.7 km of network with FCode 33400 "Connector" not accounted for</t>
      </text>
    </comment>
  </commentList>
</comments>
</file>

<file path=xl/tables/table1.xml><?xml version="1.0" encoding="utf-8"?>
<table xmlns="http://schemas.openxmlformats.org/spreadsheetml/2006/main" id="1" name="Table1" displayName="Table1" ref="A1:B6" headerRowCount="1" totalsRowShown="0" dataDxfId="2">
  <autoFilter ref="A1:B6"/>
  <tableColumns count="2">
    <tableColumn id="1" name="OwnerCode" dataDxfId="1"/>
    <tableColumn id="2" name="AreaSq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64"/>
  <sheetViews>
    <sheetView workbookViewId="0">
      <selection activeCell="A32" sqref="A32"/>
    </sheetView>
  </sheetViews>
  <sheetFormatPr baseColWidth="8" defaultColWidth="12.5703125" defaultRowHeight="15.75" customHeight="1"/>
  <cols>
    <col width="39.7109375" customWidth="1" style="77" min="1" max="1"/>
    <col width="17.85546875" customWidth="1" style="77" min="2" max="2"/>
  </cols>
  <sheetData>
    <row r="1">
      <c r="A1" s="3" t="inlineStr">
        <is>
          <t>huc</t>
        </is>
      </c>
      <c r="B1" s="3" t="n">
        <v>1601010103</v>
      </c>
      <c r="C1" s="3" t="n"/>
    </row>
    <row r="2">
      <c r="A2" s="3" t="inlineStr">
        <is>
          <t>hucName</t>
        </is>
      </c>
      <c r="B2" s="3" t="inlineStr">
        <is>
          <t>Yellow Creek</t>
        </is>
      </c>
      <c r="C2" s="3" t="n"/>
    </row>
    <row r="3">
      <c r="A3" s="3" t="inlineStr">
        <is>
          <t>hucStates</t>
        </is>
      </c>
      <c r="B3" s="3" t="inlineStr">
        <is>
          <t>UT</t>
        </is>
      </c>
      <c r="C3" s="3" t="inlineStr"/>
    </row>
    <row r="4">
      <c r="A4" s="3" t="inlineStr">
        <is>
          <t>hucAreaSqKm</t>
        </is>
      </c>
      <c r="B4" s="3" t="n">
        <v>536.1</v>
      </c>
      <c r="C4" s="3" t="n"/>
    </row>
    <row r="5">
      <c r="A5" s="3" t="inlineStr">
        <is>
          <t>hucAreaAcres</t>
        </is>
      </c>
      <c r="B5" s="3" t="n">
        <v>132474.12</v>
      </c>
      <c r="C5" s="3" t="n"/>
    </row>
    <row r="6">
      <c r="A6" s="3" t="inlineStr">
        <is>
          <t>flowlineLengthPerennialKm</t>
        </is>
      </c>
      <c r="B6" s="3" t="n">
        <v>295.747874829999</v>
      </c>
      <c r="C6" s="3" t="n"/>
    </row>
    <row r="7">
      <c r="A7" s="3" t="inlineStr">
        <is>
          <t>flowlineLengthIntermittentKm</t>
        </is>
      </c>
      <c r="B7" s="3" t="n">
        <v>75.2710682299999</v>
      </c>
      <c r="C7" s="3" t="n"/>
    </row>
    <row r="8">
      <c r="A8" s="3" t="inlineStr">
        <is>
          <t>flowlineLengthEphemeralKm</t>
        </is>
      </c>
      <c r="B8" s="3" t="n">
        <v>491.17477774</v>
      </c>
      <c r="C8" s="3" t="n"/>
    </row>
    <row r="9">
      <c r="A9" s="3" t="inlineStr">
        <is>
          <t>flowlineLengthCanalsKm</t>
        </is>
      </c>
      <c r="B9" s="3" t="n">
        <v>21.03793538</v>
      </c>
      <c r="C9" s="3" t="n"/>
    </row>
    <row r="10">
      <c r="A10" s="3" t="inlineStr">
        <is>
          <t>flowlineLengthAllKm</t>
        </is>
      </c>
      <c r="B10" s="3" t="n">
        <v>884.975944810001</v>
      </c>
      <c r="C10" s="3" t="n"/>
    </row>
    <row r="11">
      <c r="A11" s="3" t="inlineStr">
        <is>
          <t>flowlineFeatureCount</t>
        </is>
      </c>
      <c r="B11" s="3" t="n">
        <v>2382</v>
      </c>
      <c r="C11" s="3" t="n"/>
    </row>
    <row r="12">
      <c r="A12" s="3" t="inlineStr">
        <is>
          <t>waterbodyAreaSqKm</t>
        </is>
      </c>
      <c r="B12" s="3" t="n">
        <v>2.28522732999998</v>
      </c>
      <c r="C12" s="3" t="n"/>
    </row>
    <row r="13">
      <c r="A13" s="3" t="inlineStr">
        <is>
          <t>waterbodyFeatureCount</t>
        </is>
      </c>
      <c r="B13" s="3" t="n">
        <v>793</v>
      </c>
      <c r="C13" s="3" t="n"/>
    </row>
    <row r="14">
      <c r="A14" s="3" t="inlineStr">
        <is>
          <t>waterbodyLakesPondsAreaSqKm</t>
        </is>
      </c>
      <c r="B14" s="3" t="n">
        <v>2.23312917999998</v>
      </c>
      <c r="C14" s="3" t="n"/>
    </row>
    <row r="15">
      <c r="A15" s="3" t="inlineStr">
        <is>
          <t>waterbodyLakesPondsFeatureCount</t>
        </is>
      </c>
      <c r="B15" s="3" t="n">
        <v>788</v>
      </c>
      <c r="C15" s="3" t="n"/>
    </row>
    <row r="16">
      <c r="A16" s="3" t="inlineStr">
        <is>
          <t>waterbodyReservoirAreaSqKm</t>
        </is>
      </c>
      <c r="B16" s="3" t="n">
        <v>0.04809815</v>
      </c>
      <c r="C16" s="3" t="n"/>
    </row>
    <row r="17">
      <c r="A17" s="3" t="inlineStr">
        <is>
          <t>waterbodyReservoirFeatureCount</t>
        </is>
      </c>
      <c r="B17" s="3" t="n">
        <v>4</v>
      </c>
      <c r="C17" s="3" t="n"/>
    </row>
    <row r="18">
      <c r="A18" s="3" t="inlineStr">
        <is>
          <t>waterbodyEstuariesAreaSqKm</t>
        </is>
      </c>
      <c r="B18" s="3" t="n">
        <v>0</v>
      </c>
      <c r="C18" s="3" t="n"/>
    </row>
    <row r="19">
      <c r="A19" s="3" t="inlineStr">
        <is>
          <t>waterbodyEstuariesFeatureCount</t>
        </is>
      </c>
      <c r="B19" s="3" t="n">
        <v>0</v>
      </c>
      <c r="C19" s="3" t="n"/>
    </row>
    <row r="20">
      <c r="A20" s="3" t="inlineStr">
        <is>
          <t>waterbodyPlayaAreaSqKm</t>
        </is>
      </c>
      <c r="B20" s="3" t="n">
        <v>0</v>
      </c>
      <c r="C20" s="3" t="n"/>
    </row>
    <row r="21">
      <c r="A21" s="3" t="inlineStr">
        <is>
          <t>waterbodyPlayaFeatureCount</t>
        </is>
      </c>
      <c r="B21" s="3" t="n">
        <v>0</v>
      </c>
      <c r="C21" s="3" t="n"/>
    </row>
    <row r="22">
      <c r="A22" s="3" t="inlineStr">
        <is>
          <t>waterbodySwampMarshAreaSqKm</t>
        </is>
      </c>
      <c r="B22" s="3" t="n">
        <v>0.004</v>
      </c>
      <c r="C22" s="3" t="n"/>
    </row>
    <row r="23">
      <c r="A23" s="3" t="inlineStr">
        <is>
          <t>waterbodySwampMarshFeatureCount</t>
        </is>
      </c>
      <c r="B23" s="3" t="n">
        <v>1</v>
      </c>
      <c r="C23" s="3" t="n"/>
    </row>
    <row r="24">
      <c r="A24" s="3" t="inlineStr">
        <is>
          <t>waterbodyIceSnowAreaSqKm</t>
        </is>
      </c>
      <c r="B24" s="3" t="n">
        <v>0</v>
      </c>
      <c r="C24" s="3" t="n"/>
    </row>
    <row r="25">
      <c r="A25" s="3" t="inlineStr">
        <is>
          <t>waterbodyIceSnowFeatureCount</t>
        </is>
      </c>
      <c r="B25" s="3" t="n">
        <v>0</v>
      </c>
      <c r="C25" s="3" t="n"/>
    </row>
    <row r="26">
      <c r="A26" s="3" t="inlineStr">
        <is>
          <t>demMaximum</t>
        </is>
      </c>
      <c r="B26" s="3" t="n">
        <v>2866.25756835937</v>
      </c>
      <c r="C26" s="3" t="n"/>
    </row>
    <row r="27">
      <c r="A27" s="3" t="inlineStr">
        <is>
          <t>demMinimum</t>
        </is>
      </c>
      <c r="B27" s="3" t="n">
        <v>2017.83923339843</v>
      </c>
      <c r="C27" s="3" t="n"/>
    </row>
    <row r="28">
      <c r="A28" s="3" t="inlineStr">
        <is>
          <t>demSum</t>
        </is>
      </c>
      <c r="B28" s="3" t="n">
        <v>14758558720</v>
      </c>
      <c r="C28" s="3" t="n"/>
    </row>
    <row r="29">
      <c r="A29" s="3" t="inlineStr">
        <is>
          <t>demCount</t>
        </is>
      </c>
      <c r="B29" s="3" t="n">
        <v>6707376</v>
      </c>
      <c r="C29" s="3" t="n"/>
    </row>
    <row r="30">
      <c r="A30" s="3" t="inlineStr">
        <is>
          <t>demMean</t>
        </is>
      </c>
      <c r="B30" s="3" t="n">
        <v>2200.34760538249</v>
      </c>
      <c r="C30" s="3" t="n"/>
    </row>
    <row r="31">
      <c r="A31" s="3" t="inlineStr">
        <is>
          <t>demRange</t>
        </is>
      </c>
      <c r="B31" s="3" t="n">
        <v>848.418334960937</v>
      </c>
      <c r="C31" s="3" t="n"/>
    </row>
    <row r="32">
      <c r="A32" s="3" t="inlineStr">
        <is>
          <t>slopeMaximum</t>
        </is>
      </c>
      <c r="B32" s="3" t="n">
        <v>59.2588233947753</v>
      </c>
      <c r="C32" s="3" t="n"/>
    </row>
    <row r="33">
      <c r="A33" s="3" t="inlineStr">
        <is>
          <t>slopeMinimum</t>
        </is>
      </c>
      <c r="B33" s="3" t="n">
        <v>0</v>
      </c>
      <c r="C33" s="3" t="n"/>
    </row>
    <row r="34">
      <c r="A34" s="3" t="inlineStr">
        <is>
          <t>slopeSum</t>
        </is>
      </c>
      <c r="B34" s="3" t="n">
        <v>32905382</v>
      </c>
      <c r="C34" s="3" t="n"/>
    </row>
    <row r="35">
      <c r="A35" s="3" t="inlineStr">
        <is>
          <t>slopeCount</t>
        </is>
      </c>
      <c r="B35" s="3" t="n">
        <v>6707376</v>
      </c>
      <c r="C35" s="3" t="n"/>
    </row>
    <row r="36">
      <c r="A36" s="3" t="inlineStr">
        <is>
          <t>slopeMean</t>
        </is>
      </c>
      <c r="B36" s="3" t="n">
        <v>4.90585021623955</v>
      </c>
      <c r="C36" s="3" t="n"/>
    </row>
    <row r="37">
      <c r="A37" s="3" t="inlineStr">
        <is>
          <t>slopeRange</t>
        </is>
      </c>
      <c r="B37" s="3" t="n">
        <v>59.2588233947753</v>
      </c>
      <c r="C37" s="3" t="n"/>
    </row>
    <row r="38">
      <c r="A38" s="3" t="inlineStr">
        <is>
          <t>precipMaximum</t>
        </is>
      </c>
      <c r="B38" s="3" t="n">
        <v>782.599975585937</v>
      </c>
      <c r="C38" s="3" t="n"/>
    </row>
    <row r="39">
      <c r="A39" s="3" t="inlineStr">
        <is>
          <t>precipMinimum</t>
        </is>
      </c>
      <c r="B39" s="3" t="n">
        <v>262.040008544921</v>
      </c>
      <c r="C39" s="3" t="n"/>
    </row>
    <row r="40">
      <c r="A40" s="3" t="inlineStr">
        <is>
          <t>precipSum</t>
        </is>
      </c>
      <c r="B40" s="3" t="n">
        <v>329077.65625</v>
      </c>
      <c r="C40" s="3" t="n"/>
    </row>
    <row r="41">
      <c r="A41" s="3" t="inlineStr">
        <is>
          <t>precipCount</t>
        </is>
      </c>
      <c r="B41" s="3" t="n">
        <v>833</v>
      </c>
      <c r="C41" s="3" t="n"/>
    </row>
    <row r="42">
      <c r="A42" s="3" t="inlineStr">
        <is>
          <t>precipMean</t>
        </is>
      </c>
      <c r="B42" s="3" t="n">
        <v>395.051207983193</v>
      </c>
      <c r="C42" s="3" t="n"/>
    </row>
    <row r="43">
      <c r="A43" s="3" t="inlineStr">
        <is>
          <t>precipRange</t>
        </is>
      </c>
      <c r="B43" s="3" t="n">
        <v>520.5599670410151</v>
      </c>
      <c r="C43" s="3" t="n"/>
    </row>
    <row r="44">
      <c r="A44" s="3" t="inlineStr">
        <is>
          <t>catchmentLength</t>
        </is>
      </c>
      <c r="B44" s="3" t="n">
        <v>43.9426739937409</v>
      </c>
      <c r="C44" s="3" t="n"/>
    </row>
    <row r="45">
      <c r="A45" s="3" t="inlineStr">
        <is>
          <t>catchmentArea</t>
        </is>
      </c>
      <c r="B45" s="3" t="n">
        <v>536.1</v>
      </c>
      <c r="C45" s="3" t="n"/>
    </row>
    <row r="46">
      <c r="A46" s="3" t="inlineStr">
        <is>
          <t>catchmentPerimeter</t>
        </is>
      </c>
      <c r="B46" s="3" t="n">
        <v>192.58137090833</v>
      </c>
      <c r="C46" s="3" t="n"/>
    </row>
    <row r="47">
      <c r="A47" s="3" t="inlineStr">
        <is>
          <t>circularityRatio</t>
        </is>
      </c>
      <c r="B47" s="3" t="n">
        <v>0.312626472457974</v>
      </c>
      <c r="C47" s="3" t="n"/>
    </row>
    <row r="48">
      <c r="A48" s="3" t="inlineStr">
        <is>
          <t>elongationRatio</t>
        </is>
      </c>
      <c r="B48" s="3" t="n">
        <v>0.526909977741018</v>
      </c>
      <c r="C48" s="3" t="n"/>
    </row>
    <row r="49">
      <c r="A49" s="3" t="inlineStr">
        <is>
          <t>formFactor</t>
        </is>
      </c>
      <c r="B49" s="3" t="n">
        <v>0.277634124643041</v>
      </c>
      <c r="C49" s="3" t="n"/>
    </row>
    <row r="50">
      <c r="A50" s="3" t="inlineStr">
        <is>
          <t>catchmentRelief</t>
        </is>
      </c>
      <c r="B50" s="3" t="n">
        <v>848.418334960937</v>
      </c>
      <c r="C50" s="3" t="n"/>
    </row>
    <row r="51">
      <c r="A51" s="3" t="inlineStr">
        <is>
          <t>reliefRatio</t>
        </is>
      </c>
      <c r="B51" s="3" t="n">
        <v>0.0193073897842854</v>
      </c>
      <c r="C51" s="3" t="n"/>
    </row>
    <row r="52">
      <c r="A52" s="3" t="inlineStr">
        <is>
          <t>drainageDensityPerennial</t>
        </is>
      </c>
      <c r="B52" s="3" t="n">
        <v>0.551665500522289</v>
      </c>
      <c r="C52" s="3" t="n"/>
    </row>
    <row r="53">
      <c r="A53" s="3" t="inlineStr">
        <is>
          <t>drainageDensityIntermittent</t>
        </is>
      </c>
      <c r="B53" s="3" t="n">
        <v>0.140404902499533</v>
      </c>
      <c r="C53" s="3" t="n"/>
    </row>
    <row r="54">
      <c r="A54" s="3" t="inlineStr">
        <is>
          <t>drainageDensityEphemeral</t>
        </is>
      </c>
      <c r="B54" s="3" t="n">
        <v>0.916199921171424</v>
      </c>
      <c r="C54" s="3" t="n"/>
    </row>
    <row r="55">
      <c r="A55" s="3" t="inlineStr">
        <is>
          <t>drainageDensityAll</t>
        </is>
      </c>
      <c r="B55" s="3" t="n">
        <v>1.60827032419324</v>
      </c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07"/>
  <sheetViews>
    <sheetView workbookViewId="0">
      <selection activeCell="B8" sqref="B8"/>
    </sheetView>
  </sheetViews>
  <sheetFormatPr baseColWidth="8" defaultColWidth="12.5703125" defaultRowHeight="15.75" customHeight="1"/>
  <cols>
    <col width="29" customWidth="1" style="77" min="1" max="1"/>
    <col width="12.42578125" customWidth="1" style="77" min="2" max="2"/>
    <col width="39.5703125" customWidth="1" style="2" min="3" max="3"/>
    <col width="12.5703125" customWidth="1" style="2" min="4" max="7"/>
    <col width="16.5703125" customWidth="1" style="2" min="8" max="8"/>
    <col width="12.5703125" customWidth="1" style="2" min="9" max="27"/>
  </cols>
  <sheetData>
    <row r="1">
      <c r="A1" s="1" t="inlineStr">
        <is>
          <t>fieldname</t>
        </is>
      </c>
      <c r="B1" s="1" t="inlineStr">
        <is>
          <t>value</t>
        </is>
      </c>
      <c r="C1" s="2" t="inlineStr">
        <is>
          <t>label</t>
        </is>
      </c>
      <c r="E1" s="2" t="inlineStr">
        <is>
          <t>formatted</t>
        </is>
      </c>
      <c r="F1" s="2" t="inlineStr">
        <is>
          <t>formatted value</t>
        </is>
      </c>
      <c r="G1" s="2" t="inlineStr">
        <is>
          <t>value type</t>
        </is>
      </c>
      <c r="H1" s="2" t="inlineStr">
        <is>
          <t>raw units</t>
        </is>
      </c>
    </row>
    <row r="2">
      <c r="A2" s="1">
        <f>aggregate_metrics!A1</f>
        <v/>
      </c>
      <c r="B2" s="1">
        <f>aggregate_metrics!B1</f>
        <v/>
      </c>
      <c r="C2" s="2" t="inlineStr">
        <is>
          <t>HUC Code</t>
        </is>
      </c>
      <c r="E2" s="2">
        <f>B2</f>
        <v/>
      </c>
      <c r="G2" s="2" t="inlineStr">
        <is>
          <t>Int</t>
        </is>
      </c>
      <c r="H2" s="2" t="inlineStr">
        <is>
          <t>Unitless</t>
        </is>
      </c>
    </row>
    <row r="3">
      <c r="A3" s="1">
        <f>aggregate_metrics!A2</f>
        <v/>
      </c>
      <c r="B3" s="1">
        <f>aggregate_metrics!B2</f>
        <v/>
      </c>
      <c r="C3" s="2" t="inlineStr">
        <is>
          <t>Watershed Name (HUC)</t>
        </is>
      </c>
      <c r="E3" s="2">
        <f>B3</f>
        <v/>
      </c>
      <c r="G3" s="2" t="inlineStr">
        <is>
          <t>Text</t>
        </is>
      </c>
      <c r="H3" s="2" t="inlineStr">
        <is>
          <t>Unitless</t>
        </is>
      </c>
    </row>
    <row r="4">
      <c r="A4" s="1">
        <f>aggregate_metrics!A3</f>
        <v/>
      </c>
      <c r="B4" s="1">
        <f>aggregate_metrics!B3</f>
        <v/>
      </c>
      <c r="C4" s="2" t="inlineStr">
        <is>
          <t>State(s)</t>
        </is>
      </c>
      <c r="E4" s="2">
        <f>B4</f>
        <v/>
      </c>
      <c r="G4" s="2" t="inlineStr">
        <is>
          <t>Text</t>
        </is>
      </c>
      <c r="H4" s="2" t="inlineStr">
        <is>
          <t>Unitless</t>
        </is>
      </c>
    </row>
    <row r="5">
      <c r="A5" s="1">
        <f>aggregate_metrics!A4</f>
        <v/>
      </c>
      <c r="B5" s="1">
        <f>aggregate_metrics!B4</f>
        <v/>
      </c>
      <c r="C5" s="2" t="inlineStr">
        <is>
          <t>Catchment Area</t>
        </is>
      </c>
      <c r="E5" s="2">
        <f>B5</f>
        <v/>
      </c>
      <c r="F5" s="2" t="inlineStr">
        <is>
          <t>1 decimal</t>
        </is>
      </c>
      <c r="G5" s="2" t="inlineStr">
        <is>
          <t>Float</t>
        </is>
      </c>
      <c r="H5" s="2" t="inlineStr">
        <is>
          <t>Area sq km</t>
        </is>
      </c>
    </row>
    <row r="6">
      <c r="A6" s="1">
        <f>aggregate_metrics!A5</f>
        <v/>
      </c>
      <c r="B6" s="1">
        <f>aggregate_metrics!B5</f>
        <v/>
      </c>
      <c r="C6" s="2" t="inlineStr">
        <is>
          <t>Catchment Area (acres)</t>
        </is>
      </c>
      <c r="E6" s="15">
        <f>B6</f>
        <v/>
      </c>
      <c r="F6" s="2" t="inlineStr">
        <is>
          <t>1 decimal</t>
        </is>
      </c>
      <c r="G6" s="2" t="inlineStr">
        <is>
          <t>Float</t>
        </is>
      </c>
      <c r="H6" s="2" t="inlineStr">
        <is>
          <t>Area Acres</t>
        </is>
      </c>
    </row>
    <row r="7">
      <c r="A7" s="1" t="n"/>
      <c r="B7" s="1" t="n"/>
    </row>
    <row r="8">
      <c r="A8" s="1">
        <f>aggregate_metrics!A6</f>
        <v/>
      </c>
      <c r="B8" s="1">
        <f>aggregate_metrics!B6</f>
        <v/>
      </c>
      <c r="C8" s="2" t="inlineStr">
        <is>
          <t>Perrenial Stream Length</t>
        </is>
      </c>
      <c r="E8" s="15">
        <f>B8</f>
        <v/>
      </c>
      <c r="F8" s="2" t="inlineStr">
        <is>
          <t>1 decimal</t>
        </is>
      </c>
      <c r="G8" s="2" t="inlineStr">
        <is>
          <t>Float</t>
        </is>
      </c>
      <c r="H8" s="2" t="inlineStr">
        <is>
          <t>Length km</t>
        </is>
      </c>
    </row>
    <row r="9">
      <c r="A9" s="1">
        <f>aggregate_metrics!A7</f>
        <v/>
      </c>
      <c r="B9" s="1">
        <f>aggregate_metrics!B7</f>
        <v/>
      </c>
      <c r="C9" s="2" t="inlineStr">
        <is>
          <t>Intermittent Stream Length</t>
        </is>
      </c>
      <c r="E9" s="15">
        <f>B9</f>
        <v/>
      </c>
      <c r="F9" s="2" t="inlineStr">
        <is>
          <t>1 decimal</t>
        </is>
      </c>
      <c r="G9" s="2" t="inlineStr">
        <is>
          <t>Float</t>
        </is>
      </c>
      <c r="H9" s="2" t="inlineStr">
        <is>
          <t>Length km</t>
        </is>
      </c>
    </row>
    <row r="10">
      <c r="A10" s="1">
        <f>aggregate_metrics!A8</f>
        <v/>
      </c>
      <c r="B10" s="1">
        <f>aggregate_metrics!B8</f>
        <v/>
      </c>
      <c r="C10" s="2" t="inlineStr">
        <is>
          <t>Ephemeral Stream Length</t>
        </is>
      </c>
      <c r="E10" s="15">
        <f>B10</f>
        <v/>
      </c>
      <c r="F10" s="2" t="inlineStr">
        <is>
          <t>1 decimal</t>
        </is>
      </c>
      <c r="G10" s="2" t="inlineStr">
        <is>
          <t>Float</t>
        </is>
      </c>
      <c r="H10" s="2" t="inlineStr">
        <is>
          <t>Length km</t>
        </is>
      </c>
    </row>
    <row r="11">
      <c r="A11" s="1">
        <f>aggregate_metrics!A9</f>
        <v/>
      </c>
      <c r="B11" s="1">
        <f>aggregate_metrics!B9</f>
        <v/>
      </c>
      <c r="C11" s="2" t="inlineStr">
        <is>
          <t>Canal Length</t>
        </is>
      </c>
      <c r="E11" s="15">
        <f>B11</f>
        <v/>
      </c>
      <c r="F11" s="2" t="inlineStr">
        <is>
          <t>1 decimal</t>
        </is>
      </c>
      <c r="G11" s="2" t="inlineStr">
        <is>
          <t>Float</t>
        </is>
      </c>
      <c r="H11" s="2" t="inlineStr">
        <is>
          <t>Length km</t>
        </is>
      </c>
    </row>
    <row r="12">
      <c r="A12" s="1">
        <f>aggregate_metrics!A10</f>
        <v/>
      </c>
      <c r="B12" s="1">
        <f>aggregate_metrics!B10</f>
        <v/>
      </c>
      <c r="C12" s="2" t="inlineStr">
        <is>
          <t>Total Stream Length</t>
        </is>
      </c>
      <c r="E12" s="15">
        <f>B12</f>
        <v/>
      </c>
      <c r="F12" s="2" t="inlineStr">
        <is>
          <t>1 decimal</t>
        </is>
      </c>
      <c r="G12" s="2" t="inlineStr">
        <is>
          <t>Float</t>
        </is>
      </c>
      <c r="H12" s="2" t="inlineStr">
        <is>
          <t>Length km</t>
        </is>
      </c>
    </row>
    <row r="13">
      <c r="A13" s="1">
        <f>aggregate_metrics!A11</f>
        <v/>
      </c>
      <c r="B13" s="1">
        <f>aggregate_metrics!B11</f>
        <v/>
      </c>
      <c r="C13" s="2" t="inlineStr">
        <is>
          <t>Number of Stream Segments</t>
        </is>
      </c>
      <c r="E13" s="2">
        <f>B13</f>
        <v/>
      </c>
      <c r="F13" s="2" t="inlineStr">
        <is>
          <t>1 decimal</t>
        </is>
      </c>
      <c r="G13" s="2" t="inlineStr">
        <is>
          <t>Int</t>
        </is>
      </c>
      <c r="H13" s="2" t="inlineStr">
        <is>
          <t>Unitless</t>
        </is>
      </c>
    </row>
    <row r="14">
      <c r="A14" s="1" t="n"/>
      <c r="B14" s="1" t="n"/>
    </row>
    <row r="15">
      <c r="A15" s="1">
        <f>aggregate_metrics!A12</f>
        <v/>
      </c>
      <c r="B15" s="1">
        <f>aggregate_metrics!B12</f>
        <v/>
      </c>
      <c r="C15" s="2" t="inlineStr">
        <is>
          <t>Total Waterbody</t>
        </is>
      </c>
      <c r="E15" s="42">
        <f>B15</f>
        <v/>
      </c>
      <c r="G15" s="2" t="inlineStr">
        <is>
          <t>Float</t>
        </is>
      </c>
      <c r="H15" s="2" t="inlineStr">
        <is>
          <t>Area sq km</t>
        </is>
      </c>
    </row>
    <row r="16">
      <c r="A16" s="1">
        <f>aggregate_metrics!A13</f>
        <v/>
      </c>
      <c r="B16" s="1">
        <f>aggregate_metrics!B13</f>
        <v/>
      </c>
      <c r="C16" s="2" t="inlineStr">
        <is>
          <t>Total count of Waterbodies</t>
        </is>
      </c>
      <c r="E16" s="2">
        <f>B16</f>
        <v/>
      </c>
      <c r="G16" s="2" t="inlineStr">
        <is>
          <t>Int</t>
        </is>
      </c>
      <c r="H16" s="2" t="inlineStr">
        <is>
          <t>Unitless</t>
        </is>
      </c>
    </row>
    <row r="17">
      <c r="A17" s="1">
        <f>aggregate_metrics!A14</f>
        <v/>
      </c>
      <c r="B17" s="1">
        <f>aggregate_metrics!B14</f>
        <v/>
      </c>
      <c r="C17" s="2" t="inlineStr">
        <is>
          <t>Lake</t>
        </is>
      </c>
      <c r="E17" s="42">
        <f>B17</f>
        <v/>
      </c>
      <c r="G17" s="2" t="inlineStr">
        <is>
          <t>Float</t>
        </is>
      </c>
      <c r="H17" s="2" t="inlineStr">
        <is>
          <t>Area sq km</t>
        </is>
      </c>
    </row>
    <row r="18">
      <c r="A18" s="1">
        <f>aggregate_metrics!A15</f>
        <v/>
      </c>
      <c r="B18" s="1">
        <f>aggregate_metrics!B15</f>
        <v/>
      </c>
      <c r="C18" s="2" t="inlineStr">
        <is>
          <t>Lake count</t>
        </is>
      </c>
      <c r="E18" s="2">
        <f>B18</f>
        <v/>
      </c>
      <c r="G18" s="2" t="inlineStr">
        <is>
          <t>Int</t>
        </is>
      </c>
      <c r="H18" s="2" t="inlineStr">
        <is>
          <t>Unitless</t>
        </is>
      </c>
    </row>
    <row r="19">
      <c r="A19" s="1">
        <f>aggregate_metrics!A16</f>
        <v/>
      </c>
      <c r="B19" s="1">
        <f>aggregate_metrics!B16</f>
        <v/>
      </c>
      <c r="C19" s="2" t="inlineStr">
        <is>
          <t>Reservoir</t>
        </is>
      </c>
      <c r="E19" s="42">
        <f>B19</f>
        <v/>
      </c>
      <c r="G19" s="2" t="inlineStr">
        <is>
          <t>Float</t>
        </is>
      </c>
      <c r="H19" s="2" t="inlineStr">
        <is>
          <t>Area sq km</t>
        </is>
      </c>
    </row>
    <row r="20">
      <c r="A20" s="1">
        <f>aggregate_metrics!A17</f>
        <v/>
      </c>
      <c r="B20" s="1">
        <f>aggregate_metrics!B17</f>
        <v/>
      </c>
      <c r="C20" s="2" t="inlineStr">
        <is>
          <t>Reservoir count</t>
        </is>
      </c>
      <c r="E20" s="2">
        <f>B20</f>
        <v/>
      </c>
      <c r="G20" s="2" t="inlineStr">
        <is>
          <t>Int</t>
        </is>
      </c>
      <c r="H20" s="2" t="inlineStr">
        <is>
          <t>Unitless</t>
        </is>
      </c>
    </row>
    <row r="21">
      <c r="A21" s="1">
        <f>aggregate_metrics!A18</f>
        <v/>
      </c>
      <c r="B21" s="1">
        <f>aggregate_metrics!B18</f>
        <v/>
      </c>
      <c r="C21" s="2" t="inlineStr">
        <is>
          <t>Estuaries</t>
        </is>
      </c>
      <c r="E21" s="42">
        <f>B21</f>
        <v/>
      </c>
      <c r="G21" s="2" t="inlineStr">
        <is>
          <t>Float</t>
        </is>
      </c>
      <c r="H21" s="2" t="inlineStr">
        <is>
          <t>Area sq km</t>
        </is>
      </c>
    </row>
    <row r="22">
      <c r="A22" s="1">
        <f>aggregate_metrics!A19</f>
        <v/>
      </c>
      <c r="B22" s="1">
        <f>aggregate_metrics!B19</f>
        <v/>
      </c>
      <c r="C22" s="2" t="inlineStr">
        <is>
          <t>Estuaries count</t>
        </is>
      </c>
      <c r="E22" s="2">
        <f>B22</f>
        <v/>
      </c>
      <c r="G22" s="2" t="inlineStr">
        <is>
          <t>Int</t>
        </is>
      </c>
      <c r="H22" s="2" t="inlineStr">
        <is>
          <t>Unitless</t>
        </is>
      </c>
    </row>
    <row r="23">
      <c r="A23" s="1">
        <f>aggregate_metrics!A20</f>
        <v/>
      </c>
      <c r="B23" s="1">
        <f>aggregate_metrics!B20</f>
        <v/>
      </c>
      <c r="C23" s="2" t="inlineStr">
        <is>
          <t>Playa</t>
        </is>
      </c>
      <c r="E23" s="42">
        <f>B23</f>
        <v/>
      </c>
      <c r="G23" s="2" t="inlineStr">
        <is>
          <t>Float</t>
        </is>
      </c>
      <c r="H23" s="2" t="inlineStr">
        <is>
          <t>Area sq km</t>
        </is>
      </c>
    </row>
    <row r="24">
      <c r="A24" s="1">
        <f>aggregate_metrics!A21</f>
        <v/>
      </c>
      <c r="B24" s="1">
        <f>aggregate_metrics!B21</f>
        <v/>
      </c>
      <c r="C24" s="2" t="inlineStr">
        <is>
          <t>Playa count</t>
        </is>
      </c>
      <c r="E24" s="2">
        <f>B24</f>
        <v/>
      </c>
      <c r="G24" s="2" t="inlineStr">
        <is>
          <t>Int</t>
        </is>
      </c>
      <c r="H24" s="2" t="inlineStr">
        <is>
          <t>Unitless</t>
        </is>
      </c>
    </row>
    <row r="25">
      <c r="A25" s="1">
        <f>aggregate_metrics!A22</f>
        <v/>
      </c>
      <c r="B25" s="1">
        <f>aggregate_metrics!B22</f>
        <v/>
      </c>
      <c r="C25" s="2" t="inlineStr">
        <is>
          <t>Swamp Marsh</t>
        </is>
      </c>
      <c r="E25" s="42">
        <f>B25</f>
        <v/>
      </c>
      <c r="G25" s="2" t="inlineStr">
        <is>
          <t>Float</t>
        </is>
      </c>
      <c r="H25" s="2" t="inlineStr">
        <is>
          <t>Area sq km</t>
        </is>
      </c>
    </row>
    <row r="26">
      <c r="A26" s="1">
        <f>aggregate_metrics!A23</f>
        <v/>
      </c>
      <c r="B26" s="1">
        <f>aggregate_metrics!B23</f>
        <v/>
      </c>
      <c r="C26" s="2" t="inlineStr">
        <is>
          <t>Swamp/Marsh count</t>
        </is>
      </c>
      <c r="E26" s="2">
        <f>B26</f>
        <v/>
      </c>
      <c r="G26" s="2" t="inlineStr">
        <is>
          <t>Int</t>
        </is>
      </c>
      <c r="H26" s="2" t="inlineStr">
        <is>
          <t>Unitless</t>
        </is>
      </c>
    </row>
    <row r="27">
      <c r="A27" s="1">
        <f>aggregate_metrics!A24</f>
        <v/>
      </c>
      <c r="B27" s="1">
        <f>aggregate_metrics!B24</f>
        <v/>
      </c>
      <c r="C27" s="2" t="inlineStr">
        <is>
          <t>Ice/Snow</t>
        </is>
      </c>
      <c r="E27" s="42">
        <f>B27</f>
        <v/>
      </c>
      <c r="G27" s="2" t="inlineStr">
        <is>
          <t>Float</t>
        </is>
      </c>
      <c r="H27" s="2" t="inlineStr">
        <is>
          <t>Area sq km</t>
        </is>
      </c>
    </row>
    <row r="28">
      <c r="A28" s="1">
        <f>aggregate_metrics!A25</f>
        <v/>
      </c>
      <c r="B28" s="1">
        <f>aggregate_metrics!B25</f>
        <v/>
      </c>
      <c r="C28" s="2" t="inlineStr">
        <is>
          <t>Ice/Snow count</t>
        </is>
      </c>
      <c r="E28" s="2">
        <f>B28</f>
        <v/>
      </c>
      <c r="G28" s="2" t="inlineStr">
        <is>
          <t>Int</t>
        </is>
      </c>
      <c r="H28" s="2" t="inlineStr">
        <is>
          <t>Unitless</t>
        </is>
      </c>
    </row>
    <row r="29">
      <c r="A29" s="1" t="n"/>
      <c r="B29" s="1" t="n"/>
    </row>
    <row r="30">
      <c r="A30" s="1">
        <f>aggregate_metrics!A26</f>
        <v/>
      </c>
      <c r="B30" s="1">
        <f>aggregate_metrics!B26</f>
        <v/>
      </c>
      <c r="C30" s="2" t="inlineStr">
        <is>
          <t>Max Elevation</t>
        </is>
      </c>
      <c r="E30" s="15">
        <f>B30</f>
        <v/>
      </c>
      <c r="G30" s="2" t="inlineStr">
        <is>
          <t>Float</t>
        </is>
      </c>
    </row>
    <row r="31">
      <c r="A31" s="1">
        <f>aggregate_metrics!A27</f>
        <v/>
      </c>
      <c r="B31" s="1">
        <f>aggregate_metrics!B27</f>
        <v/>
      </c>
      <c r="C31" s="2" t="inlineStr">
        <is>
          <t>Min Elevation</t>
        </is>
      </c>
      <c r="E31" s="15">
        <f>B31</f>
        <v/>
      </c>
      <c r="G31" s="2" t="inlineStr">
        <is>
          <t>Float</t>
        </is>
      </c>
    </row>
    <row r="32">
      <c r="A32" s="1">
        <f>aggregate_metrics!A28</f>
        <v/>
      </c>
      <c r="B32" s="1">
        <f>aggregate_metrics!B28</f>
        <v/>
      </c>
      <c r="E32" s="15">
        <f>B32</f>
        <v/>
      </c>
      <c r="G32" s="2" t="inlineStr">
        <is>
          <t>Float</t>
        </is>
      </c>
    </row>
    <row r="33">
      <c r="A33" s="1">
        <f>aggregate_metrics!A29</f>
        <v/>
      </c>
      <c r="B33" s="1">
        <f>aggregate_metrics!B29</f>
        <v/>
      </c>
      <c r="E33" s="2">
        <f>B33</f>
        <v/>
      </c>
      <c r="G33" s="2" t="inlineStr">
        <is>
          <t>Float</t>
        </is>
      </c>
    </row>
    <row r="34">
      <c r="A34" s="1">
        <f>aggregate_metrics!A30</f>
        <v/>
      </c>
      <c r="B34" s="1">
        <f>aggregate_metrics!B30</f>
        <v/>
      </c>
      <c r="C34" s="2" t="inlineStr">
        <is>
          <t>Mean Elevation</t>
        </is>
      </c>
      <c r="E34" s="15">
        <f>B34</f>
        <v/>
      </c>
      <c r="G34" s="2" t="inlineStr">
        <is>
          <t>Float</t>
        </is>
      </c>
    </row>
    <row r="35">
      <c r="A35" s="1">
        <f>aggregate_metrics!A31</f>
        <v/>
      </c>
      <c r="B35" s="1">
        <f>aggregate_metrics!B31</f>
        <v/>
      </c>
      <c r="C35" s="2" t="inlineStr">
        <is>
          <t>Relief</t>
        </is>
      </c>
      <c r="E35" s="15">
        <f>B35</f>
        <v/>
      </c>
      <c r="G35" s="2" t="inlineStr">
        <is>
          <t>Float</t>
        </is>
      </c>
    </row>
    <row r="36">
      <c r="A36" s="1" t="n"/>
      <c r="B36" s="1" t="n"/>
    </row>
    <row r="37">
      <c r="A37" s="1">
        <f>aggregate_metrics!A32</f>
        <v/>
      </c>
      <c r="B37" s="1">
        <f>aggregate_metrics!B32</f>
        <v/>
      </c>
      <c r="C37" s="2" t="inlineStr">
        <is>
          <t>Max Slope</t>
        </is>
      </c>
      <c r="E37" s="15">
        <f>B37</f>
        <v/>
      </c>
      <c r="G37" s="2" t="inlineStr">
        <is>
          <t>Float</t>
        </is>
      </c>
      <c r="H37" s="2" t="inlineStr">
        <is>
          <t>Angle</t>
        </is>
      </c>
    </row>
    <row r="38">
      <c r="A38" s="1">
        <f>aggregate_metrics!A33</f>
        <v/>
      </c>
      <c r="B38" s="1">
        <f>aggregate_metrics!B33</f>
        <v/>
      </c>
      <c r="C38" s="2" t="inlineStr">
        <is>
          <t>Min Slope</t>
        </is>
      </c>
      <c r="E38" s="2">
        <f>B38</f>
        <v/>
      </c>
      <c r="G38" s="2" t="inlineStr">
        <is>
          <t>Float</t>
        </is>
      </c>
      <c r="H38" s="2" t="inlineStr">
        <is>
          <t>Angle</t>
        </is>
      </c>
    </row>
    <row r="39">
      <c r="A39" s="1">
        <f>aggregate_metrics!A34</f>
        <v/>
      </c>
      <c r="B39" s="1">
        <f>aggregate_metrics!B34</f>
        <v/>
      </c>
      <c r="E39" s="50">
        <f>B39</f>
        <v/>
      </c>
      <c r="G39" s="2" t="inlineStr">
        <is>
          <t>Float</t>
        </is>
      </c>
      <c r="H39" s="2" t="inlineStr">
        <is>
          <t>Angle</t>
        </is>
      </c>
    </row>
    <row r="40">
      <c r="A40" s="1">
        <f>aggregate_metrics!A35</f>
        <v/>
      </c>
      <c r="B40" s="1">
        <f>aggregate_metrics!B35</f>
        <v/>
      </c>
      <c r="E40" s="2">
        <f>B40</f>
        <v/>
      </c>
      <c r="G40" s="2" t="inlineStr">
        <is>
          <t>Float</t>
        </is>
      </c>
      <c r="H40" s="2" t="inlineStr">
        <is>
          <t>Unitless</t>
        </is>
      </c>
    </row>
    <row r="41">
      <c r="A41" s="1">
        <f>aggregate_metrics!A36</f>
        <v/>
      </c>
      <c r="B41" s="1">
        <f>aggregate_metrics!B36</f>
        <v/>
      </c>
      <c r="C41" s="2" t="inlineStr">
        <is>
          <t>Mean Slope</t>
        </is>
      </c>
      <c r="E41" s="15">
        <f>B41</f>
        <v/>
      </c>
      <c r="G41" s="2" t="inlineStr">
        <is>
          <t>Float</t>
        </is>
      </c>
      <c r="H41" s="2" t="inlineStr">
        <is>
          <t>Angle</t>
        </is>
      </c>
    </row>
    <row r="42">
      <c r="A42" s="1">
        <f>aggregate_metrics!A37</f>
        <v/>
      </c>
      <c r="B42" s="1">
        <f>aggregate_metrics!B37</f>
        <v/>
      </c>
      <c r="E42" s="15">
        <f>B42</f>
        <v/>
      </c>
      <c r="G42" s="2" t="inlineStr">
        <is>
          <t>Float</t>
        </is>
      </c>
      <c r="H42" s="2" t="inlineStr">
        <is>
          <t>Angle</t>
        </is>
      </c>
    </row>
    <row r="43">
      <c r="A43" s="1" t="n"/>
      <c r="B43" s="1" t="n"/>
    </row>
    <row r="44">
      <c r="A44" s="1">
        <f>aggregate_metrics!A38</f>
        <v/>
      </c>
      <c r="B44" s="1">
        <f>aggregate_metrics!B38</f>
        <v/>
      </c>
      <c r="C44" s="2" t="inlineStr">
        <is>
          <t>Max Precipitation</t>
        </is>
      </c>
      <c r="E44" s="15">
        <f>B44</f>
        <v/>
      </c>
      <c r="G44" s="2" t="inlineStr">
        <is>
          <t>Float</t>
        </is>
      </c>
      <c r="H44" s="2" t="inlineStr">
        <is>
          <t>length</t>
        </is>
      </c>
    </row>
    <row r="45">
      <c r="A45" s="1">
        <f>aggregate_metrics!A39</f>
        <v/>
      </c>
      <c r="B45" s="1">
        <f>aggregate_metrics!B39</f>
        <v/>
      </c>
      <c r="C45" s="2" t="inlineStr">
        <is>
          <t>Min Precipitation</t>
        </is>
      </c>
      <c r="E45" s="15">
        <f>B45</f>
        <v/>
      </c>
      <c r="G45" s="2" t="inlineStr">
        <is>
          <t>Float</t>
        </is>
      </c>
      <c r="H45" s="2" t="inlineStr">
        <is>
          <t>length</t>
        </is>
      </c>
    </row>
    <row r="46">
      <c r="A46" s="1">
        <f>aggregate_metrics!A40</f>
        <v/>
      </c>
      <c r="B46" s="1">
        <f>aggregate_metrics!B40</f>
        <v/>
      </c>
      <c r="E46" s="50">
        <f>B46</f>
        <v/>
      </c>
      <c r="G46" s="2" t="inlineStr">
        <is>
          <t>Float</t>
        </is>
      </c>
    </row>
    <row r="47">
      <c r="A47" s="1">
        <f>aggregate_metrics!A41</f>
        <v/>
      </c>
      <c r="B47" s="1">
        <f>aggregate_metrics!B41</f>
        <v/>
      </c>
      <c r="C47" s="61" t="inlineStr">
        <is>
          <t>Number of PRISM grid cells (800x800m) (I think)</t>
        </is>
      </c>
      <c r="E47" s="2">
        <f>B47</f>
        <v/>
      </c>
      <c r="G47" s="2" t="inlineStr">
        <is>
          <t>Int</t>
        </is>
      </c>
      <c r="H47" s="2" t="inlineStr">
        <is>
          <t>Unitless</t>
        </is>
      </c>
    </row>
    <row r="48">
      <c r="A48" s="1">
        <f>aggregate_metrics!A42</f>
        <v/>
      </c>
      <c r="B48" s="1">
        <f>aggregate_metrics!B42</f>
        <v/>
      </c>
      <c r="C48" s="2" t="inlineStr">
        <is>
          <t>Mean Precipitation</t>
        </is>
      </c>
      <c r="D48" s="2">
        <f>B46/B47</f>
        <v/>
      </c>
      <c r="E48" s="15">
        <f>B48</f>
        <v/>
      </c>
      <c r="G48" s="2" t="inlineStr">
        <is>
          <t>Float</t>
        </is>
      </c>
      <c r="H48" s="2" t="inlineStr">
        <is>
          <t>length</t>
        </is>
      </c>
    </row>
    <row r="49">
      <c r="A49" s="1">
        <f>aggregate_metrics!A43</f>
        <v/>
      </c>
      <c r="B49" s="1">
        <f>aggregate_metrics!B43</f>
        <v/>
      </c>
      <c r="C49" s="2" t="inlineStr">
        <is>
          <t>Spatial Variablity</t>
        </is>
      </c>
      <c r="D49" s="2">
        <f>B44-B45</f>
        <v/>
      </c>
      <c r="E49" s="15">
        <f>B49</f>
        <v/>
      </c>
      <c r="G49" s="2" t="inlineStr">
        <is>
          <t>Float</t>
        </is>
      </c>
      <c r="H49" s="2" t="inlineStr">
        <is>
          <t>length</t>
        </is>
      </c>
    </row>
    <row r="50">
      <c r="A50" s="1" t="n"/>
      <c r="B50" s="1" t="n"/>
    </row>
    <row r="51">
      <c r="A51" s="1">
        <f>aggregate_metrics!A44</f>
        <v/>
      </c>
      <c r="B51" s="1">
        <f>aggregate_metrics!B44</f>
        <v/>
      </c>
      <c r="C51" s="2" t="inlineStr">
        <is>
          <t>Catchment Length</t>
        </is>
      </c>
      <c r="E51" s="15">
        <f>B51</f>
        <v/>
      </c>
      <c r="G51" s="2" t="inlineStr">
        <is>
          <t>Float</t>
        </is>
      </c>
      <c r="H51" s="2" t="inlineStr">
        <is>
          <t>Length km</t>
        </is>
      </c>
    </row>
    <row r="52">
      <c r="A52" s="1">
        <f>aggregate_metrics!A45</f>
        <v/>
      </c>
      <c r="B52" s="1">
        <f>aggregate_metrics!B45</f>
        <v/>
      </c>
      <c r="C52" s="2" t="inlineStr">
        <is>
          <t>Catchment Area</t>
        </is>
      </c>
      <c r="E52" s="15">
        <f>B52</f>
        <v/>
      </c>
      <c r="G52" s="2" t="inlineStr">
        <is>
          <t>Float</t>
        </is>
      </c>
      <c r="H52" s="2" t="inlineStr">
        <is>
          <t>Area sq km</t>
        </is>
      </c>
    </row>
    <row r="53">
      <c r="A53" s="1">
        <f>aggregate_metrics!A46</f>
        <v/>
      </c>
      <c r="B53" s="1">
        <f>aggregate_metrics!B46</f>
        <v/>
      </c>
      <c r="C53" s="2" t="inlineStr">
        <is>
          <t>Catchment Perimeter</t>
        </is>
      </c>
      <c r="E53" s="15">
        <f>B53</f>
        <v/>
      </c>
      <c r="G53" s="2" t="inlineStr">
        <is>
          <t>Float</t>
        </is>
      </c>
      <c r="H53" s="2" t="inlineStr">
        <is>
          <t>Length km</t>
        </is>
      </c>
    </row>
    <row r="54">
      <c r="A54" s="1">
        <f>aggregate_metrics!A47</f>
        <v/>
      </c>
      <c r="B54" s="1">
        <f>aggregate_metrics!B47</f>
        <v/>
      </c>
      <c r="C54" s="2" t="inlineStr">
        <is>
          <t>Circularity Ratio</t>
        </is>
      </c>
      <c r="E54" s="42">
        <f>B54</f>
        <v/>
      </c>
      <c r="G54" s="2" t="inlineStr">
        <is>
          <t>Float</t>
        </is>
      </c>
      <c r="H54" s="2" t="inlineStr">
        <is>
          <t>Ratio</t>
        </is>
      </c>
    </row>
    <row r="55">
      <c r="A55" s="1">
        <f>aggregate_metrics!A48</f>
        <v/>
      </c>
      <c r="B55" s="1">
        <f>aggregate_metrics!B48</f>
        <v/>
      </c>
      <c r="C55" s="2" t="inlineStr">
        <is>
          <t>Elongation Ratio</t>
        </is>
      </c>
      <c r="E55" s="42">
        <f>B55</f>
        <v/>
      </c>
      <c r="G55" s="2" t="inlineStr">
        <is>
          <t>Float</t>
        </is>
      </c>
      <c r="H55" s="2" t="inlineStr">
        <is>
          <t>Ratio</t>
        </is>
      </c>
    </row>
    <row r="56">
      <c r="A56" s="1">
        <f>aggregate_metrics!A49</f>
        <v/>
      </c>
      <c r="B56" s="1">
        <f>aggregate_metrics!B49</f>
        <v/>
      </c>
      <c r="C56" s="2" t="inlineStr">
        <is>
          <t>Form Factor</t>
        </is>
      </c>
      <c r="E56" s="42">
        <f>B56</f>
        <v/>
      </c>
      <c r="G56" s="2" t="inlineStr">
        <is>
          <t>Float</t>
        </is>
      </c>
      <c r="H56" s="2" t="inlineStr">
        <is>
          <t>Ratio</t>
        </is>
      </c>
    </row>
    <row r="57">
      <c r="A57" s="1">
        <f>aggregate_metrics!A50</f>
        <v/>
      </c>
      <c r="B57" s="1">
        <f>aggregate_metrics!B50</f>
        <v/>
      </c>
      <c r="C57" s="2" t="inlineStr">
        <is>
          <t>Catchment Relief</t>
        </is>
      </c>
      <c r="E57" s="42">
        <f>B57</f>
        <v/>
      </c>
      <c r="G57" s="2" t="inlineStr">
        <is>
          <t>Float</t>
        </is>
      </c>
      <c r="H57" s="2" t="inlineStr">
        <is>
          <t>Length m</t>
        </is>
      </c>
    </row>
    <row r="58">
      <c r="A58" s="1">
        <f>aggregate_metrics!A51</f>
        <v/>
      </c>
      <c r="B58" s="1">
        <f>aggregate_metrics!B51</f>
        <v/>
      </c>
      <c r="C58" s="2" t="inlineStr">
        <is>
          <t>Relief Ratio</t>
        </is>
      </c>
      <c r="E58" s="42">
        <f>B58</f>
        <v/>
      </c>
      <c r="G58" s="2" t="inlineStr">
        <is>
          <t>Float</t>
        </is>
      </c>
      <c r="H58" s="2" t="inlineStr">
        <is>
          <t>Ratio</t>
        </is>
      </c>
    </row>
    <row r="59">
      <c r="A59" s="1">
        <f>aggregate_metrics!A52</f>
        <v/>
      </c>
      <c r="B59" s="1">
        <f>aggregate_metrics!B52</f>
        <v/>
      </c>
      <c r="C59" s="2" t="inlineStr">
        <is>
          <t>Drainage Density - Perrenial</t>
        </is>
      </c>
      <c r="E59" s="42">
        <f>B59</f>
        <v/>
      </c>
      <c r="F59" s="2">
        <f>E8/E5</f>
        <v/>
      </c>
      <c r="G59" s="2" t="inlineStr">
        <is>
          <t>Float</t>
        </is>
      </c>
      <c r="H59" s="2" t="inlineStr">
        <is>
          <t>derived</t>
        </is>
      </c>
    </row>
    <row r="60">
      <c r="A60" s="1">
        <f>aggregate_metrics!A53</f>
        <v/>
      </c>
      <c r="B60" s="1">
        <f>aggregate_metrics!B53</f>
        <v/>
      </c>
      <c r="C60" s="2" t="inlineStr">
        <is>
          <t>Drainage Density - Intermittent Network</t>
        </is>
      </c>
      <c r="E60" s="42">
        <f>B60</f>
        <v/>
      </c>
      <c r="G60" s="2" t="inlineStr">
        <is>
          <t>Float</t>
        </is>
      </c>
      <c r="H60" s="2" t="inlineStr">
        <is>
          <t>derived</t>
        </is>
      </c>
    </row>
    <row r="61">
      <c r="A61" s="1">
        <f>aggregate_metrics!A54</f>
        <v/>
      </c>
      <c r="B61" s="1">
        <f>aggregate_metrics!B54</f>
        <v/>
      </c>
      <c r="C61" s="2" t="inlineStr">
        <is>
          <t>Drainage Density - Ephemeral Network</t>
        </is>
      </c>
      <c r="E61" s="42">
        <f>B61</f>
        <v/>
      </c>
      <c r="G61" s="2" t="inlineStr">
        <is>
          <t>Float</t>
        </is>
      </c>
      <c r="H61" s="2" t="inlineStr">
        <is>
          <t>derived</t>
        </is>
      </c>
    </row>
    <row r="62">
      <c r="A62" s="1">
        <f>aggregate_metrics!A55</f>
        <v/>
      </c>
      <c r="B62" s="1">
        <f>aggregate_metrics!B55</f>
        <v/>
      </c>
      <c r="C62" s="2" t="inlineStr">
        <is>
          <t>Drainage Density - Entire Network</t>
        </is>
      </c>
      <c r="E62" s="42">
        <f>B62</f>
        <v/>
      </c>
      <c r="G62" s="2" t="inlineStr">
        <is>
          <t>Float</t>
        </is>
      </c>
      <c r="H62" s="2" t="inlineStr">
        <is>
          <t>derived</t>
        </is>
      </c>
    </row>
    <row r="63">
      <c r="A63" s="1" t="n"/>
      <c r="B63" s="1" t="n"/>
    </row>
    <row r="64">
      <c r="A64" s="1">
        <f>aggregate_metrics!A56</f>
        <v/>
      </c>
      <c r="B64" s="1" t="n"/>
      <c r="E64" s="2">
        <f>B64</f>
        <v/>
      </c>
    </row>
    <row r="65">
      <c r="A65" s="1">
        <f>aggregate_metrics!A57</f>
        <v/>
      </c>
      <c r="B65" s="1">
        <f>aggregate_metrics!B57</f>
        <v/>
      </c>
      <c r="C65" s="2" t="inlineStr">
        <is>
          <t>Private</t>
        </is>
      </c>
      <c r="E65" s="42">
        <f>B65/1000000</f>
        <v/>
      </c>
      <c r="G65" s="2" t="inlineStr">
        <is>
          <t>Float</t>
        </is>
      </c>
      <c r="H65" s="2" t="inlineStr">
        <is>
          <t>Area sq km</t>
        </is>
      </c>
    </row>
    <row r="66">
      <c r="A66" s="1">
        <f>aggregate_metrics!A58</f>
        <v/>
      </c>
      <c r="B66" s="1">
        <f>aggregate_metrics!B58</f>
        <v/>
      </c>
      <c r="C66" s="2" t="inlineStr">
        <is>
          <t>State</t>
        </is>
      </c>
      <c r="E66" s="42">
        <f>B66/1000000</f>
        <v/>
      </c>
      <c r="G66" s="2" t="inlineStr">
        <is>
          <t>Float</t>
        </is>
      </c>
      <c r="H66" s="2" t="inlineStr">
        <is>
          <t>Area sq km</t>
        </is>
      </c>
    </row>
    <row r="67">
      <c r="A67" s="1">
        <f>aggregate_metrics!A59</f>
        <v/>
      </c>
      <c r="B67" s="1">
        <f>aggregate_metrics!B59</f>
        <v/>
      </c>
      <c r="C67" s="2" t="inlineStr">
        <is>
          <t>LG</t>
        </is>
      </c>
      <c r="E67" s="42">
        <f>B67/1000000</f>
        <v/>
      </c>
      <c r="G67" s="2" t="inlineStr">
        <is>
          <t>Float</t>
        </is>
      </c>
      <c r="H67" s="2" t="inlineStr">
        <is>
          <t>Area sq km</t>
        </is>
      </c>
    </row>
    <row r="68">
      <c r="A68" s="1">
        <f>aggregate_metrics!A60</f>
        <v/>
      </c>
      <c r="B68" s="1">
        <f>aggregate_metrics!B60</f>
        <v/>
      </c>
      <c r="C68" s="2" t="inlineStr">
        <is>
          <t>BLM</t>
        </is>
      </c>
      <c r="E68" s="42">
        <f>B68/1000000</f>
        <v/>
      </c>
      <c r="G68" s="2" t="inlineStr">
        <is>
          <t>Float</t>
        </is>
      </c>
      <c r="H68" s="2" t="inlineStr">
        <is>
          <t>Area sq km</t>
        </is>
      </c>
    </row>
    <row r="69">
      <c r="A69" s="1">
        <f>aggregate_metrics!A61</f>
        <v/>
      </c>
      <c r="B69" s="1">
        <f>aggregate_metrics!B61</f>
        <v/>
      </c>
      <c r="C69" s="2" t="inlineStr">
        <is>
          <t>Undetermined (likely private)</t>
        </is>
      </c>
      <c r="E69" s="42">
        <f>B69/1000000</f>
        <v/>
      </c>
      <c r="G69" s="2" t="inlineStr">
        <is>
          <t>Float</t>
        </is>
      </c>
      <c r="H69" s="2" t="inlineStr">
        <is>
          <t>Area sq km</t>
        </is>
      </c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</sheetData>
  <dataValidations count="2">
    <dataValidation sqref="G2:G6 G8:G13 G15:G28 G30:G35 G37:G42 G44:G49 G51:G69" showDropDown="0" showInputMessage="0" showErrorMessage="1" allowBlank="1" type="list">
      <formula1>"Int,Text,Float,Boolean"</formula1>
    </dataValidation>
    <dataValidation sqref="H2:H6 H8:H13 H15:H28 H30:H35 H37:H42 H44:H49 H51:H69" showDropDown="0" showInputMessage="0" showErrorMessage="1" allowBlank="1" type="list">
      <formula1>"Unitless,Length km,Length m,Area sq km,Area hectares,Area Acres,Ratio,Percentage,dimensionless,derived,length (mm),Angle (deg)"</formula1>
    </dataValidation>
  </dataValidations>
  <pageMargins left="0" right="0" top="0" bottom="0" header="0" footer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23" sqref="B23"/>
    </sheetView>
  </sheetViews>
  <sheetFormatPr baseColWidth="8" defaultRowHeight="12.75"/>
  <cols>
    <col width="13.85546875" bestFit="1" customWidth="1" style="77" min="1" max="1"/>
    <col width="14.140625" bestFit="1" customWidth="1" style="77" min="2" max="2"/>
  </cols>
  <sheetData>
    <row r="1">
      <c r="A1" t="inlineStr">
        <is>
          <t>OwnerCode</t>
        </is>
      </c>
      <c r="B1" t="inlineStr">
        <is>
          <t>AreaSqM</t>
        </is>
      </c>
    </row>
    <row r="2" ht="15" customHeight="1" s="77">
      <c r="A2" s="3" t="inlineStr">
        <is>
          <t>PVT</t>
        </is>
      </c>
      <c r="B2" s="3" t="n">
        <v>502184788.906218</v>
      </c>
    </row>
    <row r="3" ht="15" customHeight="1" s="77">
      <c r="A3" s="3" t="inlineStr">
        <is>
          <t>ST</t>
        </is>
      </c>
      <c r="B3" s="3" t="n">
        <v>17375745.2068547</v>
      </c>
    </row>
    <row r="4" ht="15" customHeight="1" s="77">
      <c r="A4" s="3" t="inlineStr">
        <is>
          <t>LG</t>
        </is>
      </c>
      <c r="B4" s="3" t="n">
        <v>2870058.95430741</v>
      </c>
    </row>
    <row r="5" ht="15" customHeight="1" s="77">
      <c r="A5" s="3" t="inlineStr">
        <is>
          <t>BLM</t>
        </is>
      </c>
      <c r="B5" s="3" t="n">
        <v>13098466.3374453</v>
      </c>
    </row>
    <row r="6" ht="15" customHeight="1" s="77">
      <c r="A6" s="3" t="inlineStr">
        <is>
          <t>UND</t>
        </is>
      </c>
      <c r="B6" s="3" t="n">
        <v>146790.493152806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4" sqref="C4"/>
    </sheetView>
  </sheetViews>
  <sheetFormatPr baseColWidth="8" defaultRowHeight="12.75"/>
  <cols>
    <col width="14.42578125" customWidth="1" style="77" min="1" max="1"/>
    <col width="17" customWidth="1" style="77" min="2" max="2"/>
    <col width="17.140625" customWidth="1" style="77" min="3" max="3"/>
  </cols>
  <sheetData>
    <row r="1">
      <c r="A1" t="inlineStr">
        <is>
          <t>Conversion</t>
        </is>
      </c>
      <c r="B1" t="inlineStr">
        <is>
          <t>Cell Name</t>
        </is>
      </c>
      <c r="C1" t="inlineStr">
        <is>
          <t>Value</t>
        </is>
      </c>
    </row>
    <row r="2">
      <c r="A2" t="inlineStr">
        <is>
          <t>Acres per sq km</t>
        </is>
      </c>
      <c r="B2" t="inlineStr">
        <is>
          <t>acres_per_sqkm</t>
        </is>
      </c>
      <c r="C2" t="n">
        <v>241.105381</v>
      </c>
    </row>
    <row r="3">
      <c r="A3" t="inlineStr">
        <is>
          <t>Sq mi per sq km</t>
        </is>
      </c>
      <c r="B3" t="inlineStr">
        <is>
          <t>sqmi_per_sqkm</t>
        </is>
      </c>
      <c r="C3" t="n">
        <v>0.386102158542</v>
      </c>
    </row>
    <row r="4">
      <c r="A4" t="inlineStr">
        <is>
          <t>mi per km</t>
        </is>
      </c>
      <c r="B4" t="inlineStr">
        <is>
          <t>mi_per_km</t>
        </is>
      </c>
      <c r="C4" t="n">
        <v>0.621371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001"/>
  <sheetViews>
    <sheetView workbookViewId="0">
      <selection activeCell="C7" sqref="C7"/>
    </sheetView>
  </sheetViews>
  <sheetFormatPr baseColWidth="8" defaultColWidth="12.5703125" defaultRowHeight="15.75" customHeight="1"/>
  <cols>
    <col width="20.28515625" customWidth="1" style="77" min="1" max="1"/>
    <col width="21.28515625" customWidth="1" style="2" min="2" max="2"/>
    <col width="21" customWidth="1" style="77" min="3" max="3"/>
    <col width="5.7109375" customWidth="1" style="77" min="4" max="4"/>
    <col width="9.42578125" customWidth="1" style="77" min="5" max="5"/>
    <col width="5.140625" customWidth="1" style="77" min="6" max="6"/>
    <col width="8" customWidth="1" style="77" min="7" max="7"/>
    <col width="4.85546875" customWidth="1" style="77" min="8" max="8"/>
    <col width="9.7109375" customWidth="1" style="2" min="9" max="9"/>
    <col width="12.5703125" customWidth="1" style="2" min="10" max="26"/>
  </cols>
  <sheetData>
    <row r="1">
      <c r="A1" s="2" t="inlineStr">
        <is>
          <t>Formatted Tables (can be separate tabs in *.xlsx or Google Sheet)</t>
        </is>
      </c>
      <c r="C1" s="2" t="n"/>
      <c r="D1" s="2" t="n"/>
      <c r="E1" s="2" t="n"/>
      <c r="F1" s="2" t="n"/>
      <c r="G1" s="2" t="n"/>
      <c r="H1" s="2" t="n"/>
    </row>
    <row r="2">
      <c r="A2" s="2" t="n"/>
      <c r="C2" s="2" t="n"/>
      <c r="D2" s="2" t="n"/>
      <c r="E2" s="2" t="n"/>
      <c r="F2" s="2" t="n"/>
      <c r="G2" s="2" t="n"/>
      <c r="H2" s="2" t="n"/>
    </row>
    <row r="3">
      <c r="B3" s="76" t="inlineStr">
        <is>
          <t>HUC Information</t>
        </is>
      </c>
    </row>
    <row r="4">
      <c r="A4" s="2" t="n"/>
      <c r="B4" s="5">
        <f>'Expanded Table'!C3</f>
        <v/>
      </c>
      <c r="C4" s="73">
        <f>'Expanded Table'!B3</f>
        <v/>
      </c>
      <c r="D4" s="5" t="n"/>
      <c r="E4" s="7" t="n"/>
      <c r="F4" s="8" t="n"/>
      <c r="G4" s="5" t="n"/>
      <c r="H4" s="5" t="n"/>
    </row>
    <row r="5">
      <c r="A5" s="2" t="n"/>
      <c r="B5" s="9">
        <f>'Expanded Table'!C2</f>
        <v/>
      </c>
      <c r="C5" s="74">
        <f>'Expanded Table'!E2</f>
        <v/>
      </c>
      <c r="D5" s="9" t="n"/>
      <c r="E5" s="11" t="n"/>
      <c r="F5" s="12" t="n"/>
      <c r="G5" s="9" t="n"/>
      <c r="H5" s="9" t="n"/>
    </row>
    <row r="6">
      <c r="A6" s="2" t="n"/>
      <c r="B6" s="9">
        <f>'Expanded Table'!C4</f>
        <v/>
      </c>
      <c r="C6" s="74">
        <f>'Expanded Table'!E4</f>
        <v/>
      </c>
      <c r="D6" s="9" t="n"/>
      <c r="E6" s="11" t="n"/>
      <c r="F6" s="12" t="n"/>
      <c r="G6" s="9" t="n"/>
      <c r="H6" s="9" t="n"/>
    </row>
    <row r="7">
      <c r="A7" s="2" t="n"/>
      <c r="B7" s="13">
        <f>'Expanded Table'!C5</f>
        <v/>
      </c>
      <c r="C7" s="13">
        <f>'Expanded Table'!E5</f>
        <v/>
      </c>
      <c r="D7" s="14" t="inlineStr">
        <is>
          <t>sq km</t>
        </is>
      </c>
      <c r="E7" s="16">
        <f>C7*247.105</f>
        <v/>
      </c>
      <c r="F7" s="17" t="inlineStr">
        <is>
          <t>acres</t>
        </is>
      </c>
      <c r="G7" s="18">
        <f>C7/2.59</f>
        <v/>
      </c>
      <c r="H7" s="14" t="inlineStr">
        <is>
          <t>sq mi</t>
        </is>
      </c>
    </row>
    <row r="8">
      <c r="C8" s="2" t="n"/>
      <c r="D8" s="2" t="n"/>
      <c r="E8" s="2" t="n"/>
      <c r="F8" s="2" t="n"/>
      <c r="G8" s="2" t="n"/>
      <c r="H8" s="2" t="n"/>
    </row>
    <row r="9">
      <c r="A9" s="2" t="n"/>
      <c r="C9" s="2" t="n"/>
      <c r="D9" s="2" t="n"/>
      <c r="E9" s="2" t="n"/>
      <c r="F9" s="2" t="n"/>
      <c r="G9" s="2" t="n"/>
      <c r="H9" s="2" t="n"/>
    </row>
    <row r="10">
      <c r="A10" s="2" t="n"/>
      <c r="B10" s="76" t="inlineStr">
        <is>
          <t>Ownership</t>
        </is>
      </c>
    </row>
    <row r="11">
      <c r="A11" s="2" t="n"/>
      <c r="B11" s="9">
        <f>'Expanded Table'!C65</f>
        <v/>
      </c>
      <c r="C11" s="20">
        <f>'Expanded Table'!E65</f>
        <v/>
      </c>
      <c r="D11" s="14" t="inlineStr">
        <is>
          <t>sq km</t>
        </is>
      </c>
      <c r="E11" s="16">
        <f>C11*247.105</f>
        <v/>
      </c>
      <c r="F11" s="17" t="inlineStr">
        <is>
          <t>acres</t>
        </is>
      </c>
      <c r="G11" s="18">
        <f>C11/2.59</f>
        <v/>
      </c>
      <c r="H11" s="14" t="inlineStr">
        <is>
          <t>sq mi</t>
        </is>
      </c>
      <c r="I11" s="22">
        <f>C11/C$16</f>
        <v/>
      </c>
    </row>
    <row r="12">
      <c r="A12" s="2" t="n"/>
      <c r="B12" s="9">
        <f>'Expanded Table'!C66</f>
        <v/>
      </c>
      <c r="C12" s="20">
        <f>'Expanded Table'!E66</f>
        <v/>
      </c>
      <c r="D12" s="14" t="inlineStr">
        <is>
          <t>sq km</t>
        </is>
      </c>
      <c r="E12" s="16">
        <f>C12*247.105</f>
        <v/>
      </c>
      <c r="F12" s="17" t="inlineStr">
        <is>
          <t>acres</t>
        </is>
      </c>
      <c r="G12" s="18">
        <f>C12/2.59</f>
        <v/>
      </c>
      <c r="H12" s="14" t="inlineStr">
        <is>
          <t>sq mi</t>
        </is>
      </c>
      <c r="I12" s="22">
        <f>C12/C$16</f>
        <v/>
      </c>
    </row>
    <row r="13">
      <c r="A13" s="2" t="n"/>
      <c r="B13" s="9">
        <f>'Expanded Table'!C67</f>
        <v/>
      </c>
      <c r="C13" s="20">
        <f>'Expanded Table'!E67</f>
        <v/>
      </c>
      <c r="D13" s="14" t="inlineStr">
        <is>
          <t>sq km</t>
        </is>
      </c>
      <c r="E13" s="16">
        <f>C13*247.105</f>
        <v/>
      </c>
      <c r="F13" s="17" t="inlineStr">
        <is>
          <t>acres</t>
        </is>
      </c>
      <c r="G13" s="18">
        <f>C13/2.59</f>
        <v/>
      </c>
      <c r="H13" s="14" t="inlineStr">
        <is>
          <t>sq mi</t>
        </is>
      </c>
      <c r="I13" s="22">
        <f>C13/C$16</f>
        <v/>
      </c>
    </row>
    <row r="14">
      <c r="A14" s="2" t="n"/>
      <c r="B14" s="9">
        <f>'Expanded Table'!C68</f>
        <v/>
      </c>
      <c r="C14" s="20">
        <f>'Expanded Table'!E68</f>
        <v/>
      </c>
      <c r="D14" s="14" t="inlineStr">
        <is>
          <t>sq km</t>
        </is>
      </c>
      <c r="E14" s="16">
        <f>C14*247.105</f>
        <v/>
      </c>
      <c r="F14" s="17" t="inlineStr">
        <is>
          <t>acres</t>
        </is>
      </c>
      <c r="G14" s="18">
        <f>C14/2.59</f>
        <v/>
      </c>
      <c r="H14" s="14" t="inlineStr">
        <is>
          <t>sq mi</t>
        </is>
      </c>
      <c r="I14" s="22">
        <f>C14/C$16</f>
        <v/>
      </c>
    </row>
    <row r="15">
      <c r="A15" s="2" t="n"/>
      <c r="B15" s="13">
        <f>'Expanded Table'!C69</f>
        <v/>
      </c>
      <c r="C15" s="20">
        <f>'Expanded Table'!E69</f>
        <v/>
      </c>
      <c r="D15" s="14" t="inlineStr">
        <is>
          <t>sq km</t>
        </is>
      </c>
      <c r="E15" s="16">
        <f>C15*247.105</f>
        <v/>
      </c>
      <c r="F15" s="17" t="inlineStr">
        <is>
          <t>acres</t>
        </is>
      </c>
      <c r="G15" s="18">
        <f>C15/2.59</f>
        <v/>
      </c>
      <c r="H15" s="14" t="inlineStr">
        <is>
          <t>sq mi</t>
        </is>
      </c>
      <c r="I15" s="22">
        <f>C15/C$16</f>
        <v/>
      </c>
    </row>
    <row r="16">
      <c r="A16" s="2" t="n"/>
      <c r="B16" s="39" t="inlineStr">
        <is>
          <t>TOTAL AREA</t>
        </is>
      </c>
      <c r="C16" s="40">
        <f>SUM(C11:C15)</f>
        <v/>
      </c>
      <c r="D16" s="41" t="inlineStr">
        <is>
          <t>sq km</t>
        </is>
      </c>
      <c r="E16" s="43">
        <f>C16*247.105</f>
        <v/>
      </c>
      <c r="F16" s="45" t="inlineStr">
        <is>
          <t>acres</t>
        </is>
      </c>
      <c r="G16" s="46">
        <f>C16/2.59</f>
        <v/>
      </c>
      <c r="H16" s="41" t="inlineStr">
        <is>
          <t>sq mi</t>
        </is>
      </c>
      <c r="I16" s="47">
        <f>SUM(I11:I15)</f>
        <v/>
      </c>
    </row>
    <row r="17">
      <c r="A17" s="2" t="n"/>
      <c r="C17" s="2" t="n"/>
      <c r="D17" s="2" t="n"/>
      <c r="E17" s="2" t="n"/>
      <c r="F17" s="2" t="n"/>
      <c r="G17" s="2" t="n"/>
      <c r="H17" s="2" t="n"/>
    </row>
    <row r="18">
      <c r="A18" s="2" t="n"/>
      <c r="C18" s="2" t="n"/>
      <c r="D18" s="2" t="n"/>
      <c r="E18" s="2" t="n"/>
      <c r="F18" s="2" t="n"/>
      <c r="G18" s="2" t="n"/>
      <c r="H18" s="2" t="n"/>
    </row>
    <row r="19">
      <c r="A19" s="2" t="n"/>
      <c r="C19" s="2" t="n"/>
      <c r="D19" s="2" t="n"/>
      <c r="E19" s="2" t="n"/>
      <c r="F19" s="2" t="n"/>
      <c r="G19" s="2" t="n"/>
      <c r="H19" s="2" t="n"/>
    </row>
    <row r="20">
      <c r="A20" s="2" t="n"/>
      <c r="C20" s="2" t="n"/>
      <c r="D20" s="2" t="n"/>
      <c r="E20" s="2" t="n"/>
      <c r="F20" s="2" t="n"/>
      <c r="G20" s="2" t="n"/>
      <c r="H20" s="2" t="n"/>
    </row>
    <row r="21">
      <c r="A21" s="2" t="n"/>
      <c r="C21" s="2" t="n"/>
      <c r="D21" s="2" t="n"/>
      <c r="E21" s="2" t="n"/>
      <c r="F21" s="2" t="n"/>
      <c r="G21" s="2" t="n"/>
      <c r="H21" s="2" t="n"/>
    </row>
    <row r="22">
      <c r="A22" s="2" t="n"/>
      <c r="C22" s="2" t="n"/>
      <c r="D22" s="2" t="n"/>
      <c r="E22" s="2" t="n"/>
      <c r="F22" s="2" t="n"/>
      <c r="G22" s="2" t="n"/>
      <c r="H22" s="2" t="n"/>
    </row>
    <row r="23">
      <c r="A23" s="2" t="n"/>
      <c r="C23" s="2" t="n"/>
      <c r="D23" s="2" t="n"/>
      <c r="E23" s="2" t="n"/>
      <c r="F23" s="2" t="n"/>
      <c r="G23" s="2" t="n"/>
      <c r="H23" s="2" t="n"/>
    </row>
    <row r="24">
      <c r="A24" s="2" t="n"/>
      <c r="C24" s="2" t="n"/>
      <c r="D24" s="2" t="n"/>
      <c r="E24" s="2" t="n"/>
      <c r="F24" s="2" t="n"/>
      <c r="G24" s="2" t="n"/>
      <c r="H24" s="2" t="n"/>
    </row>
    <row r="25">
      <c r="A25" s="2" t="n"/>
      <c r="C25" s="2" t="n"/>
      <c r="D25" s="2" t="n"/>
      <c r="E25" s="2" t="n"/>
      <c r="F25" s="2" t="n"/>
      <c r="G25" s="2" t="n"/>
      <c r="H25" s="2" t="n"/>
    </row>
    <row r="26">
      <c r="A26" s="2" t="n"/>
      <c r="C26" s="2" t="n"/>
      <c r="D26" s="2" t="n"/>
      <c r="E26" s="2" t="n"/>
      <c r="F26" s="2" t="n"/>
      <c r="G26" s="2" t="n"/>
      <c r="H26" s="2" t="n"/>
    </row>
    <row r="27">
      <c r="A27" s="2" t="n"/>
      <c r="C27" s="2" t="n"/>
      <c r="D27" s="2" t="n"/>
      <c r="E27" s="2" t="n"/>
      <c r="F27" s="2" t="n"/>
      <c r="G27" s="2" t="n"/>
      <c r="H27" s="2" t="n"/>
    </row>
    <row r="28">
      <c r="A28" s="2" t="n"/>
      <c r="C28" s="2" t="n"/>
      <c r="D28" s="2" t="n"/>
      <c r="E28" s="2" t="n"/>
      <c r="F28" s="2" t="n"/>
      <c r="G28" s="2" t="n"/>
      <c r="H28" s="2" t="n"/>
    </row>
    <row r="29">
      <c r="A29" s="2" t="n"/>
      <c r="C29" s="2" t="n"/>
      <c r="D29" s="2" t="n"/>
      <c r="E29" s="2" t="n"/>
      <c r="F29" s="2" t="n"/>
      <c r="G29" s="2" t="n"/>
      <c r="H29" s="2" t="n"/>
    </row>
    <row r="30">
      <c r="A30" s="2" t="n"/>
      <c r="C30" s="2" t="n"/>
      <c r="D30" s="2" t="n"/>
      <c r="E30" s="2" t="n"/>
      <c r="F30" s="2" t="n"/>
      <c r="G30" s="2" t="n"/>
      <c r="H30" s="2" t="n"/>
    </row>
    <row r="31">
      <c r="A31" s="2" t="n"/>
      <c r="C31" s="2" t="n"/>
      <c r="D31" s="2" t="n"/>
      <c r="E31" s="2" t="n"/>
      <c r="F31" s="2" t="n"/>
      <c r="G31" s="2" t="n"/>
      <c r="H31" s="2" t="n"/>
    </row>
    <row r="32">
      <c r="A32" s="2" t="n"/>
      <c r="C32" s="2" t="n"/>
      <c r="D32" s="2" t="n"/>
      <c r="E32" s="2" t="n"/>
      <c r="F32" s="2" t="n"/>
      <c r="G32" s="2" t="n"/>
      <c r="H32" s="2" t="n"/>
    </row>
    <row r="33">
      <c r="A33" s="2" t="n"/>
      <c r="C33" s="2" t="n"/>
      <c r="D33" s="2" t="n"/>
      <c r="E33" s="2" t="n"/>
      <c r="F33" s="2" t="n"/>
      <c r="G33" s="2" t="n"/>
      <c r="H33" s="2" t="n"/>
    </row>
    <row r="34">
      <c r="A34" s="2" t="n"/>
      <c r="C34" s="2" t="n"/>
      <c r="D34" s="2" t="n"/>
      <c r="E34" s="2" t="n"/>
      <c r="F34" s="2" t="n"/>
      <c r="G34" s="2" t="n"/>
      <c r="H34" s="2" t="n"/>
    </row>
    <row r="35">
      <c r="A35" s="2" t="n"/>
      <c r="C35" s="2" t="n"/>
      <c r="D35" s="2" t="n"/>
      <c r="E35" s="2" t="n"/>
      <c r="F35" s="2" t="n"/>
      <c r="G35" s="2" t="n"/>
      <c r="H35" s="2" t="n"/>
    </row>
    <row r="36">
      <c r="A36" s="2" t="n"/>
      <c r="C36" s="2" t="n"/>
      <c r="D36" s="2" t="n"/>
      <c r="E36" s="2" t="n"/>
      <c r="F36" s="2" t="n"/>
      <c r="G36" s="2" t="n"/>
      <c r="H36" s="2" t="n"/>
    </row>
    <row r="37">
      <c r="A37" s="2" t="n"/>
      <c r="C37" s="2" t="n"/>
      <c r="D37" s="2" t="n"/>
      <c r="E37" s="2" t="n"/>
      <c r="F37" s="2" t="n"/>
      <c r="G37" s="2" t="n"/>
      <c r="H37" s="2" t="n"/>
    </row>
    <row r="38">
      <c r="A38" s="2" t="n"/>
      <c r="C38" s="2" t="n"/>
      <c r="D38" s="2" t="n"/>
      <c r="E38" s="2" t="n"/>
      <c r="F38" s="2" t="n"/>
      <c r="G38" s="2" t="n"/>
      <c r="H38" s="2" t="n"/>
    </row>
    <row r="39">
      <c r="A39" s="2" t="n"/>
      <c r="C39" s="2" t="n"/>
      <c r="D39" s="2" t="n"/>
      <c r="E39" s="2" t="n"/>
      <c r="F39" s="2" t="n"/>
      <c r="G39" s="2" t="n"/>
      <c r="H39" s="2" t="n"/>
    </row>
    <row r="40">
      <c r="A40" s="2" t="n"/>
      <c r="C40" s="2" t="n"/>
      <c r="D40" s="2" t="n"/>
      <c r="E40" s="2" t="n"/>
      <c r="F40" s="2" t="n"/>
      <c r="G40" s="2" t="n"/>
      <c r="H40" s="2" t="n"/>
    </row>
    <row r="41">
      <c r="A41" s="2" t="n"/>
      <c r="C41" s="2" t="n"/>
      <c r="D41" s="2" t="n"/>
      <c r="E41" s="2" t="n"/>
      <c r="F41" s="2" t="n"/>
      <c r="G41" s="2" t="n"/>
      <c r="H41" s="2" t="n"/>
    </row>
    <row r="42">
      <c r="A42" s="2" t="n"/>
      <c r="C42" s="2" t="n"/>
      <c r="D42" s="2" t="n"/>
      <c r="E42" s="2" t="n"/>
      <c r="F42" s="2" t="n"/>
      <c r="G42" s="2" t="n"/>
      <c r="H42" s="2" t="n"/>
    </row>
    <row r="43">
      <c r="A43" s="2" t="n"/>
      <c r="C43" s="2" t="n"/>
      <c r="D43" s="2" t="n"/>
      <c r="E43" s="2" t="n"/>
      <c r="F43" s="2" t="n"/>
      <c r="G43" s="2" t="n"/>
      <c r="H43" s="2" t="n"/>
    </row>
    <row r="44">
      <c r="A44" s="2" t="n"/>
      <c r="C44" s="2" t="n"/>
      <c r="D44" s="2" t="n"/>
      <c r="E44" s="2" t="n"/>
      <c r="F44" s="2" t="n"/>
      <c r="G44" s="2" t="n"/>
      <c r="H44" s="2" t="n"/>
    </row>
    <row r="45">
      <c r="A45" s="2" t="n"/>
      <c r="C45" s="2" t="n"/>
      <c r="D45" s="2" t="n"/>
      <c r="E45" s="2" t="n"/>
      <c r="F45" s="2" t="n"/>
      <c r="G45" s="2" t="n"/>
      <c r="H45" s="2" t="n"/>
    </row>
    <row r="46">
      <c r="A46" s="2" t="n"/>
      <c r="C46" s="2" t="n"/>
      <c r="D46" s="2" t="n"/>
      <c r="E46" s="2" t="n"/>
      <c r="F46" s="2" t="n"/>
      <c r="G46" s="2" t="n"/>
      <c r="H46" s="2" t="n"/>
    </row>
    <row r="47">
      <c r="A47" s="2" t="n"/>
      <c r="C47" s="2" t="n"/>
      <c r="D47" s="2" t="n"/>
      <c r="E47" s="2" t="n"/>
      <c r="F47" s="2" t="n"/>
      <c r="G47" s="2" t="n"/>
      <c r="H47" s="2" t="n"/>
    </row>
    <row r="48">
      <c r="A48" s="2" t="n"/>
      <c r="C48" s="2" t="n"/>
      <c r="D48" s="2" t="n"/>
      <c r="E48" s="2" t="n"/>
      <c r="F48" s="2" t="n"/>
      <c r="G48" s="2" t="n"/>
      <c r="H48" s="2" t="n"/>
    </row>
    <row r="49">
      <c r="A49" s="2" t="n"/>
      <c r="C49" s="2" t="n"/>
      <c r="D49" s="2" t="n"/>
      <c r="E49" s="2" t="n"/>
      <c r="F49" s="2" t="n"/>
      <c r="G49" s="2" t="n"/>
      <c r="H49" s="2" t="n"/>
    </row>
    <row r="50">
      <c r="A50" s="2" t="n"/>
      <c r="C50" s="2" t="n"/>
      <c r="D50" s="2" t="n"/>
      <c r="E50" s="2" t="n"/>
      <c r="F50" s="2" t="n"/>
      <c r="G50" s="2" t="n"/>
      <c r="H50" s="2" t="n"/>
    </row>
    <row r="51">
      <c r="A51" s="2" t="n"/>
      <c r="C51" s="2" t="n"/>
      <c r="D51" s="2" t="n"/>
      <c r="E51" s="2" t="n"/>
      <c r="F51" s="2" t="n"/>
      <c r="G51" s="2" t="n"/>
      <c r="H51" s="2" t="n"/>
    </row>
    <row r="52">
      <c r="A52" s="2" t="n"/>
      <c r="C52" s="2" t="n"/>
      <c r="D52" s="2" t="n"/>
      <c r="E52" s="2" t="n"/>
      <c r="F52" s="2" t="n"/>
      <c r="G52" s="2" t="n"/>
      <c r="H52" s="2" t="n"/>
    </row>
    <row r="53">
      <c r="A53" s="2" t="n"/>
      <c r="C53" s="2" t="n"/>
      <c r="D53" s="2" t="n"/>
      <c r="E53" s="2" t="n"/>
      <c r="F53" s="2" t="n"/>
      <c r="G53" s="2" t="n"/>
      <c r="H53" s="2" t="n"/>
    </row>
    <row r="54">
      <c r="A54" s="2" t="n"/>
      <c r="C54" s="2" t="n"/>
      <c r="D54" s="2" t="n"/>
      <c r="E54" s="2" t="n"/>
      <c r="F54" s="2" t="n"/>
      <c r="G54" s="2" t="n"/>
      <c r="H54" s="2" t="n"/>
    </row>
    <row r="55">
      <c r="A55" s="2" t="n"/>
      <c r="C55" s="2" t="n"/>
      <c r="D55" s="2" t="n"/>
      <c r="E55" s="2" t="n"/>
      <c r="F55" s="2" t="n"/>
      <c r="G55" s="2" t="n"/>
      <c r="H55" s="2" t="n"/>
    </row>
    <row r="56">
      <c r="A56" s="2" t="n"/>
      <c r="C56" s="2" t="n"/>
      <c r="D56" s="2" t="n"/>
      <c r="E56" s="2" t="n"/>
      <c r="F56" s="2" t="n"/>
      <c r="G56" s="2" t="n"/>
      <c r="H56" s="2" t="n"/>
    </row>
    <row r="57">
      <c r="A57" s="2" t="n"/>
      <c r="C57" s="2" t="n"/>
      <c r="D57" s="2" t="n"/>
      <c r="E57" s="2" t="n"/>
      <c r="F57" s="2" t="n"/>
      <c r="G57" s="2" t="n"/>
      <c r="H57" s="2" t="n"/>
    </row>
    <row r="58">
      <c r="A58" s="2" t="n"/>
      <c r="C58" s="2" t="n"/>
      <c r="D58" s="2" t="n"/>
      <c r="E58" s="2" t="n"/>
      <c r="F58" s="2" t="n"/>
      <c r="G58" s="2" t="n"/>
      <c r="H58" s="2" t="n"/>
    </row>
    <row r="59">
      <c r="A59" s="2" t="n"/>
      <c r="C59" s="2" t="n"/>
      <c r="D59" s="2" t="n"/>
      <c r="E59" s="2" t="n"/>
      <c r="F59" s="2" t="n"/>
      <c r="G59" s="2" t="n"/>
      <c r="H59" s="2" t="n"/>
    </row>
    <row r="60">
      <c r="A60" s="2" t="n"/>
      <c r="C60" s="2" t="n"/>
      <c r="D60" s="2" t="n"/>
      <c r="E60" s="2" t="n"/>
      <c r="F60" s="2" t="n"/>
      <c r="G60" s="2" t="n"/>
      <c r="H60" s="2" t="n"/>
    </row>
    <row r="61">
      <c r="A61" s="2" t="n"/>
      <c r="C61" s="2" t="n"/>
      <c r="D61" s="2" t="n"/>
      <c r="E61" s="2" t="n"/>
      <c r="F61" s="2" t="n"/>
      <c r="G61" s="2" t="n"/>
      <c r="H61" s="2" t="n"/>
    </row>
    <row r="62">
      <c r="A62" s="2" t="n"/>
      <c r="C62" s="2" t="n"/>
      <c r="D62" s="2" t="n"/>
      <c r="E62" s="2" t="n"/>
      <c r="F62" s="2" t="n"/>
      <c r="G62" s="2" t="n"/>
      <c r="H62" s="2" t="n"/>
    </row>
    <row r="63">
      <c r="A63" s="2" t="n"/>
      <c r="C63" s="2" t="n"/>
      <c r="D63" s="2" t="n"/>
      <c r="E63" s="2" t="n"/>
      <c r="F63" s="2" t="n"/>
      <c r="G63" s="2" t="n"/>
      <c r="H63" s="2" t="n"/>
    </row>
    <row r="64">
      <c r="A64" s="2" t="n"/>
      <c r="C64" s="2" t="n"/>
      <c r="D64" s="2" t="n"/>
      <c r="E64" s="2" t="n"/>
      <c r="F64" s="2" t="n"/>
      <c r="G64" s="2" t="n"/>
      <c r="H64" s="2" t="n"/>
    </row>
    <row r="65">
      <c r="A65" s="2" t="n"/>
      <c r="C65" s="2" t="n"/>
      <c r="D65" s="2" t="n"/>
      <c r="E65" s="2" t="n"/>
      <c r="F65" s="2" t="n"/>
      <c r="G65" s="2" t="n"/>
      <c r="H65" s="2" t="n"/>
    </row>
    <row r="66">
      <c r="A66" s="2" t="n"/>
      <c r="C66" s="2" t="n"/>
      <c r="D66" s="2" t="n"/>
      <c r="E66" s="2" t="n"/>
      <c r="F66" s="2" t="n"/>
      <c r="G66" s="2" t="n"/>
      <c r="H66" s="2" t="n"/>
    </row>
    <row r="67">
      <c r="A67" s="2" t="n"/>
      <c r="C67" s="2" t="n"/>
      <c r="D67" s="2" t="n"/>
      <c r="E67" s="2" t="n"/>
      <c r="F67" s="2" t="n"/>
      <c r="G67" s="2" t="n"/>
      <c r="H67" s="2" t="n"/>
    </row>
    <row r="68">
      <c r="A68" s="2" t="n"/>
      <c r="C68" s="2" t="n"/>
      <c r="D68" s="2" t="n"/>
      <c r="E68" s="2" t="n"/>
      <c r="F68" s="2" t="n"/>
      <c r="G68" s="2" t="n"/>
      <c r="H68" s="2" t="n"/>
    </row>
    <row r="69">
      <c r="A69" s="2" t="n"/>
      <c r="C69" s="2" t="n"/>
      <c r="D69" s="2" t="n"/>
      <c r="E69" s="2" t="n"/>
      <c r="F69" s="2" t="n"/>
      <c r="G69" s="2" t="n"/>
      <c r="H69" s="2" t="n"/>
    </row>
    <row r="70">
      <c r="A70" s="2" t="n"/>
      <c r="C70" s="2" t="n"/>
      <c r="D70" s="2" t="n"/>
      <c r="E70" s="2" t="n"/>
      <c r="F70" s="2" t="n"/>
      <c r="G70" s="2" t="n"/>
      <c r="H70" s="2" t="n"/>
    </row>
    <row r="71">
      <c r="A71" s="2" t="n"/>
      <c r="C71" s="2" t="n"/>
      <c r="D71" s="2" t="n"/>
      <c r="E71" s="2" t="n"/>
      <c r="F71" s="2" t="n"/>
      <c r="G71" s="2" t="n"/>
      <c r="H71" s="2" t="n"/>
    </row>
    <row r="72">
      <c r="A72" s="2" t="n"/>
      <c r="C72" s="2" t="n"/>
      <c r="D72" s="2" t="n"/>
      <c r="E72" s="2" t="n"/>
      <c r="F72" s="2" t="n"/>
      <c r="G72" s="2" t="n"/>
      <c r="H72" s="2" t="n"/>
    </row>
    <row r="73">
      <c r="A73" s="2" t="n"/>
      <c r="C73" s="2" t="n"/>
      <c r="D73" s="2" t="n"/>
      <c r="E73" s="2" t="n"/>
      <c r="F73" s="2" t="n"/>
      <c r="G73" s="2" t="n"/>
      <c r="H73" s="2" t="n"/>
    </row>
    <row r="74">
      <c r="A74" s="2" t="n"/>
      <c r="C74" s="2" t="n"/>
      <c r="D74" s="2" t="n"/>
      <c r="E74" s="2" t="n"/>
      <c r="F74" s="2" t="n"/>
      <c r="G74" s="2" t="n"/>
      <c r="H74" s="2" t="n"/>
    </row>
    <row r="75">
      <c r="A75" s="2" t="n"/>
      <c r="C75" s="2" t="n"/>
      <c r="D75" s="2" t="n"/>
      <c r="E75" s="2" t="n"/>
      <c r="F75" s="2" t="n"/>
      <c r="G75" s="2" t="n"/>
      <c r="H75" s="2" t="n"/>
    </row>
    <row r="76">
      <c r="A76" s="2" t="n"/>
      <c r="C76" s="2" t="n"/>
      <c r="D76" s="2" t="n"/>
      <c r="E76" s="2" t="n"/>
      <c r="F76" s="2" t="n"/>
      <c r="G76" s="2" t="n"/>
      <c r="H76" s="2" t="n"/>
    </row>
    <row r="77">
      <c r="A77" s="2" t="n"/>
      <c r="C77" s="2" t="n"/>
      <c r="D77" s="2" t="n"/>
      <c r="E77" s="2" t="n"/>
      <c r="F77" s="2" t="n"/>
      <c r="G77" s="2" t="n"/>
      <c r="H77" s="2" t="n"/>
    </row>
    <row r="78">
      <c r="A78" s="2" t="n"/>
      <c r="C78" s="2" t="n"/>
      <c r="D78" s="2" t="n"/>
      <c r="E78" s="2" t="n"/>
      <c r="F78" s="2" t="n"/>
      <c r="G78" s="2" t="n"/>
      <c r="H78" s="2" t="n"/>
    </row>
    <row r="79">
      <c r="A79" s="2" t="n"/>
      <c r="C79" s="2" t="n"/>
      <c r="D79" s="2" t="n"/>
      <c r="E79" s="2" t="n"/>
      <c r="F79" s="2" t="n"/>
      <c r="G79" s="2" t="n"/>
      <c r="H79" s="2" t="n"/>
    </row>
    <row r="80">
      <c r="A80" s="2" t="n"/>
      <c r="C80" s="2" t="n"/>
      <c r="D80" s="2" t="n"/>
      <c r="E80" s="2" t="n"/>
      <c r="F80" s="2" t="n"/>
      <c r="G80" s="2" t="n"/>
      <c r="H80" s="2" t="n"/>
    </row>
    <row r="81">
      <c r="A81" s="2" t="n"/>
      <c r="C81" s="2" t="n"/>
      <c r="D81" s="2" t="n"/>
      <c r="E81" s="2" t="n"/>
      <c r="F81" s="2" t="n"/>
      <c r="G81" s="2" t="n"/>
      <c r="H81" s="2" t="n"/>
    </row>
    <row r="82">
      <c r="A82" s="2" t="n"/>
      <c r="C82" s="2" t="n"/>
      <c r="D82" s="2" t="n"/>
      <c r="E82" s="2" t="n"/>
      <c r="F82" s="2" t="n"/>
      <c r="G82" s="2" t="n"/>
      <c r="H82" s="2" t="n"/>
    </row>
    <row r="83">
      <c r="A83" s="2" t="n"/>
      <c r="C83" s="2" t="n"/>
      <c r="D83" s="2" t="n"/>
      <c r="E83" s="2" t="n"/>
      <c r="F83" s="2" t="n"/>
      <c r="G83" s="2" t="n"/>
      <c r="H83" s="2" t="n"/>
    </row>
    <row r="84">
      <c r="A84" s="2" t="n"/>
      <c r="C84" s="2" t="n"/>
      <c r="D84" s="2" t="n"/>
      <c r="E84" s="2" t="n"/>
      <c r="F84" s="2" t="n"/>
      <c r="G84" s="2" t="n"/>
      <c r="H84" s="2" t="n"/>
    </row>
    <row r="85">
      <c r="A85" s="2" t="n"/>
      <c r="C85" s="2" t="n"/>
      <c r="D85" s="2" t="n"/>
      <c r="E85" s="2" t="n"/>
      <c r="F85" s="2" t="n"/>
      <c r="G85" s="2" t="n"/>
      <c r="H85" s="2" t="n"/>
    </row>
    <row r="86">
      <c r="A86" s="2" t="n"/>
      <c r="C86" s="2" t="n"/>
      <c r="D86" s="2" t="n"/>
      <c r="E86" s="2" t="n"/>
      <c r="F86" s="2" t="n"/>
      <c r="G86" s="2" t="n"/>
      <c r="H86" s="2" t="n"/>
    </row>
    <row r="87">
      <c r="A87" s="2" t="n"/>
      <c r="C87" s="2" t="n"/>
      <c r="D87" s="2" t="n"/>
      <c r="E87" s="2" t="n"/>
      <c r="F87" s="2" t="n"/>
      <c r="G87" s="2" t="n"/>
      <c r="H87" s="2" t="n"/>
    </row>
    <row r="88">
      <c r="A88" s="2" t="n"/>
      <c r="C88" s="2" t="n"/>
      <c r="D88" s="2" t="n"/>
      <c r="E88" s="2" t="n"/>
      <c r="F88" s="2" t="n"/>
      <c r="G88" s="2" t="n"/>
      <c r="H88" s="2" t="n"/>
    </row>
    <row r="89">
      <c r="A89" s="2" t="n"/>
      <c r="C89" s="2" t="n"/>
      <c r="D89" s="2" t="n"/>
      <c r="E89" s="2" t="n"/>
      <c r="F89" s="2" t="n"/>
      <c r="G89" s="2" t="n"/>
      <c r="H89" s="2" t="n"/>
    </row>
    <row r="90">
      <c r="A90" s="2" t="n"/>
      <c r="C90" s="2" t="n"/>
      <c r="D90" s="2" t="n"/>
      <c r="E90" s="2" t="n"/>
      <c r="F90" s="2" t="n"/>
      <c r="G90" s="2" t="n"/>
      <c r="H90" s="2" t="n"/>
    </row>
    <row r="91">
      <c r="A91" s="2" t="n"/>
      <c r="C91" s="2" t="n"/>
      <c r="D91" s="2" t="n"/>
      <c r="E91" s="2" t="n"/>
      <c r="F91" s="2" t="n"/>
      <c r="G91" s="2" t="n"/>
      <c r="H91" s="2" t="n"/>
    </row>
    <row r="92">
      <c r="A92" s="2" t="n"/>
      <c r="C92" s="2" t="n"/>
      <c r="D92" s="2" t="n"/>
      <c r="E92" s="2" t="n"/>
      <c r="F92" s="2" t="n"/>
      <c r="G92" s="2" t="n"/>
      <c r="H92" s="2" t="n"/>
    </row>
    <row r="93">
      <c r="A93" s="2" t="n"/>
      <c r="C93" s="2" t="n"/>
      <c r="D93" s="2" t="n"/>
      <c r="E93" s="2" t="n"/>
      <c r="F93" s="2" t="n"/>
      <c r="G93" s="2" t="n"/>
      <c r="H93" s="2" t="n"/>
    </row>
    <row r="94">
      <c r="A94" s="2" t="n"/>
      <c r="C94" s="2" t="n"/>
      <c r="D94" s="2" t="n"/>
      <c r="E94" s="2" t="n"/>
      <c r="F94" s="2" t="n"/>
      <c r="G94" s="2" t="n"/>
      <c r="H94" s="2" t="n"/>
    </row>
    <row r="95">
      <c r="A95" s="2" t="n"/>
      <c r="C95" s="2" t="n"/>
      <c r="D95" s="2" t="n"/>
      <c r="E95" s="2" t="n"/>
      <c r="F95" s="2" t="n"/>
      <c r="G95" s="2" t="n"/>
      <c r="H95" s="2" t="n"/>
    </row>
    <row r="96">
      <c r="A96" s="2" t="n"/>
      <c r="C96" s="2" t="n"/>
      <c r="D96" s="2" t="n"/>
      <c r="E96" s="2" t="n"/>
      <c r="F96" s="2" t="n"/>
      <c r="G96" s="2" t="n"/>
      <c r="H96" s="2" t="n"/>
    </row>
    <row r="97">
      <c r="A97" s="2" t="n"/>
      <c r="C97" s="2" t="n"/>
      <c r="D97" s="2" t="n"/>
      <c r="E97" s="2" t="n"/>
      <c r="F97" s="2" t="n"/>
      <c r="G97" s="2" t="n"/>
      <c r="H97" s="2" t="n"/>
    </row>
    <row r="98">
      <c r="A98" s="2" t="n"/>
      <c r="C98" s="2" t="n"/>
      <c r="D98" s="2" t="n"/>
      <c r="E98" s="2" t="n"/>
      <c r="F98" s="2" t="n"/>
      <c r="G98" s="2" t="n"/>
      <c r="H98" s="2" t="n"/>
    </row>
    <row r="99">
      <c r="A99" s="2" t="n"/>
      <c r="C99" s="2" t="n"/>
      <c r="D99" s="2" t="n"/>
      <c r="E99" s="2" t="n"/>
      <c r="F99" s="2" t="n"/>
      <c r="G99" s="2" t="n"/>
      <c r="H99" s="2" t="n"/>
    </row>
    <row r="100">
      <c r="A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C1000" s="2" t="n"/>
      <c r="D1000" s="2" t="n"/>
      <c r="E1000" s="2" t="n"/>
      <c r="F1000" s="2" t="n"/>
      <c r="G1000" s="2" t="n"/>
      <c r="H1000" s="2" t="n"/>
    </row>
    <row r="1001">
      <c r="A1001" s="2" t="n"/>
      <c r="C1001" s="2" t="n"/>
      <c r="D1001" s="2" t="n"/>
      <c r="E1001" s="2" t="n"/>
      <c r="F1001" s="2" t="n"/>
      <c r="G1001" s="2" t="n"/>
      <c r="H1001" s="2" t="n"/>
    </row>
  </sheetData>
  <mergeCells count="2">
    <mergeCell ref="B3:H3"/>
    <mergeCell ref="B10:H10"/>
  </mergeCells>
  <pageMargins left="0" right="0" top="0" bottom="0" header="0" footer="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1006"/>
  <sheetViews>
    <sheetView workbookViewId="0">
      <selection activeCell="A1" sqref="A1"/>
    </sheetView>
  </sheetViews>
  <sheetFormatPr baseColWidth="8" defaultColWidth="12.5703125" defaultRowHeight="15.75" customHeight="1"/>
  <cols>
    <col width="20.28515625" customWidth="1" style="77" min="1" max="1"/>
    <col width="28" customWidth="1" style="77" min="2" max="2"/>
    <col width="16.140625" customWidth="1" style="77" min="3" max="3"/>
    <col width="5.7109375" customWidth="1" style="77" min="4" max="4"/>
    <col width="9.42578125" customWidth="1" style="77" min="5" max="5"/>
    <col width="5.140625" customWidth="1" style="77" min="6" max="6"/>
    <col width="8" customWidth="1" style="77" min="7" max="7"/>
    <col width="4.85546875" customWidth="1" style="77" min="8" max="8"/>
    <col width="12.5703125" customWidth="1" style="2" min="9" max="26"/>
  </cols>
  <sheetData>
    <row r="1">
      <c r="A1" s="2" t="inlineStr">
        <is>
          <t>Formatted Tables (can be separate tabs in *.xlsx or Google Sheet)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B3" s="76" t="inlineStr">
        <is>
          <t>Hydrographic Network</t>
        </is>
      </c>
    </row>
    <row r="4">
      <c r="A4" s="2" t="n"/>
      <c r="B4" s="5">
        <f>'Expanded Table'!C3</f>
        <v/>
      </c>
      <c r="C4" s="73">
        <f>'Expanded Table'!B3</f>
        <v/>
      </c>
      <c r="D4" s="5" t="n"/>
      <c r="E4" s="7" t="n"/>
      <c r="F4" s="8" t="n"/>
      <c r="G4" s="5" t="n"/>
      <c r="H4" s="5" t="n"/>
    </row>
    <row r="5">
      <c r="A5" s="2" t="n"/>
      <c r="B5" s="9">
        <f>'Expanded Table'!C2</f>
        <v/>
      </c>
      <c r="C5" s="74">
        <f>'Expanded Table'!E2</f>
        <v/>
      </c>
      <c r="D5" s="9" t="n"/>
      <c r="E5" s="11" t="n"/>
      <c r="F5" s="12" t="n"/>
      <c r="G5" s="9" t="n"/>
      <c r="H5" s="9" t="n"/>
    </row>
    <row r="6">
      <c r="A6" s="2" t="n"/>
      <c r="B6" s="9">
        <f>'Expanded Table'!C4</f>
        <v/>
      </c>
      <c r="C6" s="74">
        <f>'Expanded Table'!E4</f>
        <v/>
      </c>
      <c r="D6" s="9" t="n"/>
      <c r="E6" s="11" t="n"/>
      <c r="F6" s="12" t="n"/>
      <c r="G6" s="9" t="n"/>
      <c r="H6" s="9" t="n"/>
    </row>
    <row r="7">
      <c r="A7" s="2" t="n"/>
      <c r="B7" s="13">
        <f>'Expanded Table'!C5</f>
        <v/>
      </c>
      <c r="C7" s="13">
        <f>'Expanded Table'!E5</f>
        <v/>
      </c>
      <c r="D7" s="14" t="inlineStr">
        <is>
          <t>sq km</t>
        </is>
      </c>
      <c r="E7" s="16">
        <f>C7*247.105</f>
        <v/>
      </c>
      <c r="F7" s="17" t="inlineStr">
        <is>
          <t>acres</t>
        </is>
      </c>
      <c r="G7" s="18">
        <f>C7/2.59</f>
        <v/>
      </c>
      <c r="H7" s="14" t="inlineStr">
        <is>
          <t>sq mi</t>
        </is>
      </c>
    </row>
    <row r="8">
      <c r="B8" s="19" t="n"/>
      <c r="C8" s="86" t="inlineStr">
        <is>
          <t>Stream Network Distance</t>
        </is>
      </c>
      <c r="D8" s="87" t="n"/>
      <c r="E8" s="87" t="n"/>
      <c r="F8" s="88" t="n"/>
      <c r="G8" s="70" t="inlineStr">
        <is>
          <t>Percent of total</t>
        </is>
      </c>
      <c r="H8" s="87" t="n"/>
    </row>
    <row r="9">
      <c r="B9" s="13">
        <f>'Expanded Table'!C8</f>
        <v/>
      </c>
      <c r="C9" s="20">
        <f>'Expanded Table'!E8</f>
        <v/>
      </c>
      <c r="D9" s="14" t="inlineStr">
        <is>
          <t>km</t>
        </is>
      </c>
      <c r="E9" s="16">
        <f>C9*0.621371</f>
        <v/>
      </c>
      <c r="F9" s="17" t="inlineStr">
        <is>
          <t>mi</t>
        </is>
      </c>
      <c r="G9" s="21">
        <f>C9/C$12</f>
        <v/>
      </c>
      <c r="H9" s="14" t="n"/>
    </row>
    <row r="10">
      <c r="A10" s="2" t="n"/>
      <c r="B10" s="13" t="inlineStr">
        <is>
          <t>Non Perrenial Stream Length</t>
        </is>
      </c>
      <c r="C10" s="20">
        <f>'Expanded Table'!E9+'Expanded Table'!E10</f>
        <v/>
      </c>
      <c r="D10" s="14" t="inlineStr">
        <is>
          <t>km</t>
        </is>
      </c>
      <c r="E10" s="16">
        <f>C10*0.621371</f>
        <v/>
      </c>
      <c r="F10" s="17" t="inlineStr">
        <is>
          <t>mi</t>
        </is>
      </c>
      <c r="G10" s="21">
        <f>C10/C$12</f>
        <v/>
      </c>
      <c r="H10" s="14" t="n"/>
    </row>
    <row r="11">
      <c r="A11" s="2" t="n"/>
      <c r="B11" s="13">
        <f>'Expanded Table'!C11</f>
        <v/>
      </c>
      <c r="C11" s="20">
        <f>'Expanded Table'!E11</f>
        <v/>
      </c>
      <c r="D11" s="14" t="inlineStr">
        <is>
          <t>km</t>
        </is>
      </c>
      <c r="E11" s="16">
        <f>C11*0.621371</f>
        <v/>
      </c>
      <c r="F11" s="17" t="inlineStr">
        <is>
          <t>mi</t>
        </is>
      </c>
      <c r="G11" s="21">
        <f>C11/C$12</f>
        <v/>
      </c>
      <c r="H11" s="14" t="n"/>
    </row>
    <row r="12">
      <c r="A12" s="2" t="n"/>
      <c r="B12" s="25">
        <f>'Expanded Table'!C12</f>
        <v/>
      </c>
      <c r="C12" s="28">
        <f>'Expanded Table'!E12</f>
        <v/>
      </c>
      <c r="D12" s="30" t="inlineStr">
        <is>
          <t>km</t>
        </is>
      </c>
      <c r="E12" s="28">
        <f>C12*0.621371</f>
        <v/>
      </c>
      <c r="F12" s="30" t="inlineStr">
        <is>
          <t>mi</t>
        </is>
      </c>
      <c r="G12" s="31">
        <f>C12/C$12</f>
        <v/>
      </c>
      <c r="H12" s="32" t="n"/>
    </row>
    <row r="13">
      <c r="A13" s="2" t="n"/>
      <c r="B13" s="13" t="inlineStr">
        <is>
          <t>Total Stream Length (w.o. canals)</t>
        </is>
      </c>
      <c r="C13" s="20">
        <f>SUM(C9:C10)</f>
        <v/>
      </c>
      <c r="D13" s="14" t="inlineStr">
        <is>
          <t>km</t>
        </is>
      </c>
      <c r="E13" s="16">
        <f>C13*0.621371</f>
        <v/>
      </c>
      <c r="F13" s="17" t="inlineStr">
        <is>
          <t>mi</t>
        </is>
      </c>
      <c r="G13" s="21">
        <f>C13/C$12</f>
        <v/>
      </c>
      <c r="H13" s="14" t="n"/>
    </row>
    <row r="14">
      <c r="A14" s="2" t="n"/>
      <c r="B14" s="13" t="n"/>
      <c r="C14" s="13" t="n"/>
      <c r="D14" s="14" t="n"/>
      <c r="E14" s="71" t="inlineStr">
        <is>
          <t>Average Segment Length</t>
        </is>
      </c>
      <c r="F14" s="89" t="n"/>
      <c r="G14" s="89" t="n"/>
      <c r="H14" s="89" t="n"/>
    </row>
    <row r="15">
      <c r="A15" s="2" t="n"/>
      <c r="B15" s="13">
        <f>'Expanded Table'!C13</f>
        <v/>
      </c>
      <c r="C15" s="13">
        <f>'Expanded Table'!E13</f>
        <v/>
      </c>
      <c r="D15" s="14" t="inlineStr">
        <is>
          <t>#</t>
        </is>
      </c>
      <c r="E15" s="16">
        <f>C12/C15</f>
        <v/>
      </c>
      <c r="F15" s="17" t="inlineStr">
        <is>
          <t>km</t>
        </is>
      </c>
      <c r="G15" s="48">
        <f>E12/C15</f>
        <v/>
      </c>
      <c r="H15" s="14" t="inlineStr">
        <is>
          <t>mi</t>
        </is>
      </c>
    </row>
    <row r="16">
      <c r="A16" s="2" t="n"/>
      <c r="B16" s="2">
        <f>'Expanded Table'!C14</f>
        <v/>
      </c>
      <c r="C16" s="2" t="n"/>
      <c r="D16" s="49" t="n"/>
      <c r="E16" s="50" t="n"/>
      <c r="F16" s="49" t="n"/>
      <c r="G16" s="50" t="n"/>
      <c r="H16" s="49" t="n"/>
    </row>
    <row r="17">
      <c r="A17" s="2" t="n"/>
      <c r="B17" s="76" t="n"/>
      <c r="C17" s="76" t="n"/>
      <c r="D17" s="76" t="n"/>
      <c r="E17" s="76" t="n"/>
      <c r="F17" s="76" t="n"/>
      <c r="G17" s="76" t="n"/>
      <c r="H17" s="76" t="n"/>
    </row>
    <row r="18">
      <c r="A18" s="2" t="n"/>
      <c r="B18" s="2" t="n"/>
      <c r="C18" s="51" t="n"/>
      <c r="D18" s="2" t="n"/>
      <c r="E18" s="2" t="n"/>
      <c r="F18" s="2" t="n"/>
      <c r="G18" s="2" t="n"/>
      <c r="H18" s="2" t="n"/>
    </row>
    <row r="19">
      <c r="A19" s="2" t="n"/>
      <c r="B19" s="2" t="n"/>
      <c r="C19" s="51" t="n"/>
      <c r="D19" s="2" t="n"/>
      <c r="E19" s="2" t="n"/>
      <c r="F19" s="2" t="n"/>
      <c r="G19" s="2" t="n"/>
      <c r="H19" s="2" t="n"/>
    </row>
    <row r="20">
      <c r="A20" s="2" t="n"/>
      <c r="B20" s="2" t="n"/>
      <c r="C20" s="51" t="n"/>
      <c r="D20" s="2" t="n"/>
      <c r="E20" s="2" t="n"/>
      <c r="F20" s="2" t="n"/>
      <c r="G20" s="2" t="n"/>
      <c r="H20" s="2" t="n"/>
    </row>
    <row r="21">
      <c r="A21" s="2" t="n"/>
      <c r="B21" s="2" t="n"/>
      <c r="C21" s="51" t="n"/>
      <c r="D21" s="2" t="n"/>
      <c r="E21" s="2" t="n"/>
      <c r="F21" s="2" t="n"/>
      <c r="G21" s="2" t="n"/>
      <c r="H21" s="2" t="n"/>
    </row>
    <row r="22">
      <c r="A22" s="2" t="n"/>
      <c r="B22" s="2" t="n"/>
      <c r="C22" s="51" t="n"/>
      <c r="D22" s="2" t="n"/>
      <c r="E22" s="2" t="n"/>
      <c r="F22" s="2" t="n"/>
      <c r="G22" s="2" t="n"/>
      <c r="H22" s="2" t="n"/>
    </row>
    <row r="23">
      <c r="A23" s="2" t="n"/>
      <c r="B23" s="2" t="n"/>
      <c r="C23" s="51" t="n"/>
      <c r="D23" s="2" t="n"/>
      <c r="E23" s="2" t="n"/>
      <c r="F23" s="2" t="n"/>
      <c r="G23" s="2" t="n"/>
      <c r="H23" s="2" t="n"/>
    </row>
    <row r="24">
      <c r="A24" s="2" t="n"/>
      <c r="B24" s="2" t="n"/>
      <c r="C24" s="51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49" t="n"/>
      <c r="E25" s="50" t="n"/>
      <c r="F25" s="49" t="n"/>
      <c r="G25" s="72" t="n"/>
    </row>
    <row r="26">
      <c r="A26" s="2" t="n"/>
      <c r="B26" s="2" t="n"/>
      <c r="C26" s="2" t="n"/>
      <c r="D26" s="49" t="n"/>
      <c r="E26" s="50" t="n"/>
      <c r="F26" s="49" t="n"/>
      <c r="G26" s="59" t="n"/>
      <c r="H26" s="49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</row>
  </sheetData>
  <mergeCells count="5">
    <mergeCell ref="E14:H14"/>
    <mergeCell ref="C8:F8"/>
    <mergeCell ref="G25:H25"/>
    <mergeCell ref="G8:H8"/>
    <mergeCell ref="B3:H3"/>
  </mergeCells>
  <pageMargins left="0" right="0" top="0" bottom="0" header="0" footer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994"/>
  <sheetViews>
    <sheetView workbookViewId="0">
      <selection activeCell="A1" sqref="A1"/>
    </sheetView>
  </sheetViews>
  <sheetFormatPr baseColWidth="8" defaultColWidth="12.5703125" defaultRowHeight="15.75" customHeight="1"/>
  <cols>
    <col width="20.28515625" customWidth="1" style="77" min="1" max="1"/>
    <col width="28" customWidth="1" style="77" min="2" max="2"/>
    <col width="8.140625" customWidth="1" style="77" min="3" max="3"/>
    <col width="7" customWidth="1" style="77" min="4" max="4"/>
    <col width="7.42578125" customWidth="1" style="77" min="5" max="7"/>
    <col width="8" customWidth="1" style="77" min="8" max="8"/>
    <col width="6.85546875" customWidth="1" style="77" min="9" max="9"/>
  </cols>
  <sheetData>
    <row r="1">
      <c r="A1" s="2" t="inlineStr">
        <is>
          <t>Formatted Tables (can be separate tabs in *.xlsx or Google Sheet)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B3" s="76" t="inlineStr">
        <is>
          <t>Waterbodies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5">
        <f>'Expanded Table'!C3</f>
        <v/>
      </c>
      <c r="C4" s="73">
        <f>WatershedName</f>
        <v/>
      </c>
      <c r="D4" s="90" t="n"/>
      <c r="E4" s="90" t="n"/>
      <c r="F4" s="90" t="n"/>
      <c r="G4" s="90" t="n"/>
      <c r="H4" s="90" t="n"/>
      <c r="I4" s="90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9">
        <f>'Expanded Table'!C2</f>
        <v/>
      </c>
      <c r="C5" s="74">
        <f>'Expanded Table'!E2</f>
        <v/>
      </c>
      <c r="D5" s="91" t="n"/>
      <c r="E5" s="91" t="n"/>
      <c r="F5" s="91" t="n"/>
      <c r="G5" s="91" t="n"/>
      <c r="H5" s="91" t="n"/>
      <c r="I5" s="91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3" t="inlineStr">
        <is>
          <t>sq km</t>
        </is>
      </c>
      <c r="D6" s="23" t="inlineStr">
        <is>
          <t>count</t>
        </is>
      </c>
      <c r="E6" s="24" t="inlineStr">
        <is>
          <t>% Area</t>
        </is>
      </c>
      <c r="F6" s="24" t="inlineStr">
        <is>
          <t>% Count</t>
        </is>
      </c>
      <c r="G6" s="26" t="inlineStr">
        <is>
          <t>Avg. sq km</t>
        </is>
      </c>
      <c r="H6" s="27" t="inlineStr">
        <is>
          <t>acres</t>
        </is>
      </c>
      <c r="I6" s="29" t="inlineStr">
        <is>
          <t>sq mi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5">
        <f>'Expanded Table'!C17</f>
        <v/>
      </c>
      <c r="C7" s="33">
        <f>'Expanded Table'!B17</f>
        <v/>
      </c>
      <c r="D7" s="34">
        <f>'Expanded Table'!E18</f>
        <v/>
      </c>
      <c r="E7" s="35">
        <f>C7/C$13</f>
        <v/>
      </c>
      <c r="F7" s="35">
        <f>D7/D$13</f>
        <v/>
      </c>
      <c r="G7" s="36">
        <f>IF(D7&gt;0,C7/D7,0)</f>
        <v/>
      </c>
      <c r="H7" s="37">
        <f>C7*247.105</f>
        <v/>
      </c>
      <c r="I7" s="38">
        <f>C7*0.386102</f>
        <v/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9">
        <f>'Expanded Table'!C19</f>
        <v/>
      </c>
      <c r="C8" s="44">
        <f>'Expanded Table'!E19</f>
        <v/>
      </c>
      <c r="D8" s="34">
        <f>'Expanded Table'!E20</f>
        <v/>
      </c>
      <c r="E8" s="35">
        <f>C8/C$13</f>
        <v/>
      </c>
      <c r="F8" s="35">
        <f>D8/D$13</f>
        <v/>
      </c>
      <c r="G8" s="36">
        <f>IF(D8&gt;0,C8/D8,0)</f>
        <v/>
      </c>
      <c r="H8" s="37">
        <f>C8*247.105</f>
        <v/>
      </c>
      <c r="I8" s="38">
        <f>C8*0.386102</f>
        <v/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9">
        <f>'Expanded Table'!C21</f>
        <v/>
      </c>
      <c r="C9" s="44">
        <f>'Expanded Table'!E21</f>
        <v/>
      </c>
      <c r="D9" s="34">
        <f>'Expanded Table'!E22</f>
        <v/>
      </c>
      <c r="E9" s="35">
        <f>C9/C$13</f>
        <v/>
      </c>
      <c r="F9" s="35">
        <f>D9/D$13</f>
        <v/>
      </c>
      <c r="G9" s="36">
        <f>IF(D9&gt;0,C9/D9,0)</f>
        <v/>
      </c>
      <c r="H9" s="37">
        <f>C9*247.105</f>
        <v/>
      </c>
      <c r="I9" s="38">
        <f>C9*0.386102</f>
        <v/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9">
        <f>'Expanded Table'!C23</f>
        <v/>
      </c>
      <c r="C10" s="44">
        <f>'Expanded Table'!E23</f>
        <v/>
      </c>
      <c r="D10" s="34">
        <f>C10*247.105</f>
        <v/>
      </c>
      <c r="E10" s="35">
        <f>C10/C$13</f>
        <v/>
      </c>
      <c r="F10" s="35">
        <f>D10/D$13</f>
        <v/>
      </c>
      <c r="G10" s="36">
        <f>IF(D10&gt;0,C10/D10,0)</f>
        <v/>
      </c>
      <c r="H10" s="37">
        <f>C10*247.105</f>
        <v/>
      </c>
      <c r="I10" s="38">
        <f>C10*0.386102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9">
        <f>'Expanded Table'!C25</f>
        <v/>
      </c>
      <c r="C11" s="44">
        <f>'Expanded Table'!E25</f>
        <v/>
      </c>
      <c r="D11" s="34">
        <f>'Expanded Table'!E26</f>
        <v/>
      </c>
      <c r="E11" s="35">
        <f>C11/C$13</f>
        <v/>
      </c>
      <c r="F11" s="35">
        <f>D11/D$13</f>
        <v/>
      </c>
      <c r="G11" s="36">
        <f>IF(D11&gt;0,C11/D11,0)</f>
        <v/>
      </c>
      <c r="H11" s="37">
        <f>C11*247.105</f>
        <v/>
      </c>
      <c r="I11" s="38">
        <f>C11*0.386102</f>
        <v/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9">
        <f>'Expanded Table'!C27</f>
        <v/>
      </c>
      <c r="C12" s="44">
        <f>'Expanded Table'!E27</f>
        <v/>
      </c>
      <c r="D12" s="52">
        <f>'Expanded Table'!E28</f>
        <v/>
      </c>
      <c r="E12" s="53">
        <f>C12/C$13</f>
        <v/>
      </c>
      <c r="F12" s="35">
        <f>D12/D$13</f>
        <v/>
      </c>
      <c r="G12" s="36">
        <f>IF(D12&gt;0,C12/D12,0)</f>
        <v/>
      </c>
      <c r="H12" s="37">
        <f>C12*247.105</f>
        <v/>
      </c>
      <c r="I12" s="38">
        <f>C12*0.386102</f>
        <v/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19" t="inlineStr">
        <is>
          <t>Total Waterbodies</t>
        </is>
      </c>
      <c r="C13" s="54">
        <f>SUM(C7:C12)</f>
        <v/>
      </c>
      <c r="D13" s="55">
        <f>SUM(D7:D12)</f>
        <v/>
      </c>
      <c r="E13" s="56">
        <f>SUM(E7:E12)</f>
        <v/>
      </c>
      <c r="F13" s="56">
        <f>SUM(F7:F12)</f>
        <v/>
      </c>
      <c r="G13" s="57">
        <f>SUM(G7:G12)</f>
        <v/>
      </c>
      <c r="H13" s="58">
        <f>SUM(H7:H12)</f>
        <v/>
      </c>
      <c r="I13" s="60">
        <f>SUM(I7:I12)</f>
        <v/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50" t="n"/>
      <c r="E14" s="49" t="n"/>
      <c r="F14" s="49" t="n"/>
      <c r="G14" s="49" t="n"/>
      <c r="H14" s="59" t="n"/>
      <c r="I14" s="49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</sheetData>
  <mergeCells count="3">
    <mergeCell ref="B3:I3"/>
    <mergeCell ref="C5:I5"/>
    <mergeCell ref="C4:I4"/>
  </mergeCells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V990"/>
  <sheetViews>
    <sheetView workbookViewId="0">
      <selection activeCell="A1" sqref="A1"/>
    </sheetView>
  </sheetViews>
  <sheetFormatPr baseColWidth="8" defaultColWidth="12.5703125" defaultRowHeight="15.75" customHeight="1"/>
  <cols>
    <col width="20.28515625" customWidth="1" style="77" min="1" max="1"/>
    <col width="28.140625" customWidth="1" style="77" min="2" max="2"/>
    <col width="8.140625" customWidth="1" style="77" min="3" max="3"/>
    <col width="9" customWidth="1" style="77" min="4" max="4"/>
  </cols>
  <sheetData>
    <row r="1">
      <c r="A1" s="2" t="inlineStr">
        <is>
          <t>Formatted Tables (can be separate tabs in *.xlsx or Google Sheet)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B3" s="76" t="inlineStr">
        <is>
          <t>Climate - PRISM - Mean Annual Precipitation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5">
        <f>'Expanded Table'!C3</f>
        <v/>
      </c>
      <c r="C4" s="73">
        <f>'Expanded Table'!B3</f>
        <v/>
      </c>
      <c r="D4" s="90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9">
        <f>'Expanded Table'!C2</f>
        <v/>
      </c>
      <c r="C5" s="74">
        <f>'Expanded Table'!E2</f>
        <v/>
      </c>
      <c r="D5" s="91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inlineStr">
        <is>
          <t>Spatial Summary Statistics:</t>
        </is>
      </c>
      <c r="C6" s="23" t="inlineStr">
        <is>
          <t>mm</t>
        </is>
      </c>
      <c r="D6" s="62" t="inlineStr">
        <is>
          <t>in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9">
        <f>'Expanded Table'!C48</f>
        <v/>
      </c>
      <c r="C7" s="33">
        <f>'Expanded Table'!E48</f>
        <v/>
      </c>
      <c r="D7" s="63">
        <f>C7*0.0393701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9">
        <f>'Expanded Table'!C45</f>
        <v/>
      </c>
      <c r="C8" s="64">
        <f>'Expanded Table'!E45</f>
        <v/>
      </c>
      <c r="D8" s="63">
        <f>C8*0.0393701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9">
        <f>'Expanded Table'!C44</f>
        <v/>
      </c>
      <c r="C9" s="64">
        <f>'Expanded Table'!E44</f>
        <v/>
      </c>
      <c r="D9" s="63">
        <f>C9*0.0393701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50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</sheetData>
  <mergeCells count="3">
    <mergeCell ref="B3:D3"/>
    <mergeCell ref="C5:D5"/>
    <mergeCell ref="C4:D4"/>
  </mergeCells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selection activeCell="A22" sqref="A22"/>
    </sheetView>
  </sheetViews>
  <sheetFormatPr baseColWidth="8" defaultColWidth="12.5703125" defaultRowHeight="15.75" customHeight="1"/>
  <cols>
    <col width="20.28515625" customWidth="1" style="77" min="1" max="1"/>
    <col width="28" customWidth="1" style="77" min="2" max="2"/>
    <col width="16.140625" customWidth="1" style="77" min="3" max="3"/>
    <col width="5.7109375" customWidth="1" style="77" min="4" max="4"/>
    <col width="9.42578125" customWidth="1" style="77" min="5" max="5"/>
    <col width="5.140625" customWidth="1" style="77" min="6" max="6"/>
    <col width="8" customWidth="1" style="77" min="7" max="7"/>
    <col width="4.85546875" customWidth="1" style="77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B3" s="83" t="inlineStr">
        <is>
          <t>Morphometric Analyses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5">
        <f>'Expanded Table'!C3</f>
        <v/>
      </c>
      <c r="C4" s="73">
        <f>'Expanded Table'!B3</f>
        <v/>
      </c>
      <c r="D4" s="5" t="n"/>
      <c r="E4" s="7" t="n"/>
      <c r="F4" s="8" t="n"/>
      <c r="G4" s="5" t="n"/>
      <c r="H4" s="5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9">
        <f>'Expanded Table'!C2</f>
        <v/>
      </c>
      <c r="C5" s="74">
        <f>'Expanded Table'!E2</f>
        <v/>
      </c>
      <c r="D5" s="9" t="n"/>
      <c r="E5" s="11" t="n"/>
      <c r="F5" s="12" t="n"/>
      <c r="G5" s="9" t="n"/>
      <c r="H5" s="9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9">
        <f>'Expanded Table'!C4</f>
        <v/>
      </c>
      <c r="C6" s="74">
        <f>'Expanded Table'!E4</f>
        <v/>
      </c>
      <c r="D6" s="9" t="n"/>
      <c r="E6" s="11" t="n"/>
      <c r="F6" s="12" t="n"/>
      <c r="G6" s="9" t="n"/>
      <c r="H6" s="9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13">
        <f>'Expanded Table'!C5</f>
        <v/>
      </c>
      <c r="C7" s="13">
        <f>'Expanded Table'!E5</f>
        <v/>
      </c>
      <c r="D7" s="14" t="inlineStr">
        <is>
          <t>sq km</t>
        </is>
      </c>
      <c r="E7" s="16">
        <f>C7*247.105</f>
        <v/>
      </c>
      <c r="F7" s="17" t="inlineStr">
        <is>
          <t>acres</t>
        </is>
      </c>
      <c r="G7" s="18">
        <f>C7/2.59</f>
        <v/>
      </c>
      <c r="H7" s="14" t="inlineStr">
        <is>
          <t>sq mi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B8" s="19" t="n"/>
      <c r="C8" s="19" t="n"/>
      <c r="D8" s="32" t="n"/>
      <c r="E8" s="65" t="n"/>
      <c r="F8" s="30" t="n"/>
      <c r="G8" s="75" t="inlineStr">
        <is>
          <t>Percent of total</t>
        </is>
      </c>
      <c r="H8" s="87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B9" s="13">
        <f>'Expanded Table'!C8</f>
        <v/>
      </c>
      <c r="C9" s="20">
        <f>'Expanded Table'!E8</f>
        <v/>
      </c>
      <c r="D9" s="14" t="inlineStr">
        <is>
          <t>km</t>
        </is>
      </c>
      <c r="E9" s="16">
        <f>C9*0.621371</f>
        <v/>
      </c>
      <c r="F9" s="17" t="inlineStr">
        <is>
          <t>mi</t>
        </is>
      </c>
      <c r="G9" s="21">
        <f>C9/C$11</f>
        <v/>
      </c>
      <c r="H9" s="14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13" t="inlineStr">
        <is>
          <t>Non Perrenial Stream Length</t>
        </is>
      </c>
      <c r="C10" s="20">
        <f>'Expanded Table'!E9+'Expanded Table'!E10</f>
        <v/>
      </c>
      <c r="D10" s="14" t="inlineStr">
        <is>
          <t>km</t>
        </is>
      </c>
      <c r="E10" s="16">
        <f>C10*0.621371</f>
        <v/>
      </c>
      <c r="F10" s="17" t="inlineStr">
        <is>
          <t>mi</t>
        </is>
      </c>
      <c r="G10" s="21">
        <f>C10/C$11</f>
        <v/>
      </c>
      <c r="H10" s="14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5">
        <f>'Expanded Table'!C12</f>
        <v/>
      </c>
      <c r="C11" s="28">
        <f>'Expanded Table'!E12</f>
        <v/>
      </c>
      <c r="D11" s="30" t="inlineStr">
        <is>
          <t>km</t>
        </is>
      </c>
      <c r="E11" s="28">
        <f>C11*0.621371</f>
        <v/>
      </c>
      <c r="F11" s="30" t="inlineStr">
        <is>
          <t>mi</t>
        </is>
      </c>
      <c r="G11" s="31">
        <f>C11/C$11</f>
        <v/>
      </c>
      <c r="H11" s="3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>
        <f>'Expanded Table'!C14</f>
        <v/>
      </c>
      <c r="C12" s="2" t="n"/>
      <c r="D12" s="49" t="n"/>
      <c r="E12" s="50" t="n"/>
      <c r="F12" s="49" t="n"/>
      <c r="G12" s="50" t="n"/>
      <c r="H12" s="49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85" t="inlineStr">
        <is>
          <t>Basin Geometry</t>
        </is>
      </c>
      <c r="C13" s="89" t="n"/>
      <c r="D13" s="89" t="n"/>
      <c r="E13" s="89" t="n"/>
      <c r="F13" s="89" t="n"/>
      <c r="G13" s="89" t="n"/>
      <c r="H13" s="89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13">
        <f>'Expanded Table'!C51</f>
        <v/>
      </c>
      <c r="C14" s="13">
        <f>'Expanded Table'!E13</f>
        <v/>
      </c>
      <c r="D14" s="14" t="inlineStr">
        <is>
          <t>km</t>
        </is>
      </c>
      <c r="E14" s="16">
        <f>C14*0.621371</f>
        <v/>
      </c>
      <c r="F14" s="17" t="inlineStr">
        <is>
          <t>mi</t>
        </is>
      </c>
      <c r="G14" s="21">
        <f>C14/C$11</f>
        <v/>
      </c>
      <c r="H14" s="14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13">
        <f>'Expanded Table'!C53</f>
        <v/>
      </c>
      <c r="C15" s="67">
        <f>'Expanded Table'!E14+'Expanded Table'!E15</f>
        <v/>
      </c>
      <c r="D15" s="14" t="inlineStr">
        <is>
          <t>km</t>
        </is>
      </c>
      <c r="E15" s="16">
        <f>C15*0.621371</f>
        <v/>
      </c>
      <c r="F15" s="17" t="inlineStr">
        <is>
          <t>mi</t>
        </is>
      </c>
      <c r="G15" s="21">
        <f>C15/C$11</f>
        <v/>
      </c>
      <c r="H15" s="14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85" t="n"/>
      <c r="C16" s="85" t="n"/>
      <c r="D16" s="85" t="n"/>
      <c r="E16" s="85" t="n"/>
      <c r="F16" s="85" t="n"/>
      <c r="G16" s="85" t="n"/>
      <c r="H16" s="8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85" t="inlineStr">
        <is>
          <t>Basin Elevation</t>
        </is>
      </c>
      <c r="C17" s="89" t="n"/>
      <c r="D17" s="89" t="n"/>
      <c r="E17" s="89" t="n"/>
      <c r="F17" s="89" t="n"/>
      <c r="G17" s="89" t="n"/>
      <c r="H17" s="89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13">
        <f>'Expanded Table'!C31</f>
        <v/>
      </c>
      <c r="C18" s="20">
        <f>'Expanded Table'!E31</f>
        <v/>
      </c>
      <c r="D18" s="14" t="inlineStr">
        <is>
          <t>m</t>
        </is>
      </c>
      <c r="E18" s="16">
        <f>3.280841666667*C18</f>
        <v/>
      </c>
      <c r="F18" s="14" t="inlineStr">
        <is>
          <t>ft</t>
        </is>
      </c>
      <c r="G18" s="59" t="n"/>
      <c r="H18" s="49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13">
        <f>'Expanded Table'!C30</f>
        <v/>
      </c>
      <c r="C19" s="20">
        <f>'Expanded Table'!E30</f>
        <v/>
      </c>
      <c r="D19" s="14" t="inlineStr">
        <is>
          <t>m</t>
        </is>
      </c>
      <c r="E19" s="16">
        <f>3.280841666667*C19</f>
        <v/>
      </c>
      <c r="F19" s="14" t="inlineStr">
        <is>
          <t>ft</t>
        </is>
      </c>
      <c r="G19" s="59" t="n"/>
      <c r="H19" s="49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13">
        <f>'Expanded Table'!C35</f>
        <v/>
      </c>
      <c r="C20" s="20">
        <f>'Expanded Table'!E35</f>
        <v/>
      </c>
      <c r="D20" s="14" t="inlineStr">
        <is>
          <t>m</t>
        </is>
      </c>
      <c r="E20" s="16">
        <f>3.280841666667*C20</f>
        <v/>
      </c>
      <c r="F20" s="14" t="inlineStr">
        <is>
          <t>ft</t>
        </is>
      </c>
      <c r="G20" s="59" t="n"/>
      <c r="H20" s="49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13">
        <f>'Expanded Table'!C34</f>
        <v/>
      </c>
      <c r="C21" s="20">
        <f>'Expanded Table'!E34</f>
        <v/>
      </c>
      <c r="D21" s="14" t="inlineStr">
        <is>
          <t>m</t>
        </is>
      </c>
      <c r="E21" s="16">
        <f>3.280841666667*C21</f>
        <v/>
      </c>
      <c r="F21" s="14" t="inlineStr">
        <is>
          <t>ft</t>
        </is>
      </c>
      <c r="G21" s="59" t="n"/>
      <c r="H21" s="49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85" t="n"/>
      <c r="C22" s="85" t="n"/>
      <c r="D22" s="85" t="n"/>
      <c r="E22" s="85" t="n"/>
      <c r="F22" s="85" t="n"/>
      <c r="G22" s="68" t="n"/>
      <c r="H22" s="68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85" t="inlineStr">
        <is>
          <t>Slope Analyses</t>
        </is>
      </c>
      <c r="C23" s="89" t="n"/>
      <c r="D23" s="89" t="n"/>
      <c r="E23" s="89" t="n"/>
      <c r="F23" s="89" t="n"/>
      <c r="G23" s="89" t="n"/>
      <c r="H23" s="89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13">
        <f>'Expanded Table'!C38</f>
        <v/>
      </c>
      <c r="C24" s="20">
        <f>'Expanded Table'!E38</f>
        <v/>
      </c>
      <c r="D24" s="14" t="inlineStr">
        <is>
          <t>deg</t>
        </is>
      </c>
      <c r="E24" s="16">
        <f>(TAN(RADIANS(C24)))*100</f>
        <v/>
      </c>
      <c r="F24" s="14" t="inlineStr">
        <is>
          <t>%</t>
        </is>
      </c>
      <c r="G24" s="59" t="n"/>
      <c r="H24" s="49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13">
        <f>'Expanded Table'!C37</f>
        <v/>
      </c>
      <c r="C25" s="20">
        <f>'Expanded Table'!E37</f>
        <v/>
      </c>
      <c r="D25" s="14" t="inlineStr">
        <is>
          <t>deg</t>
        </is>
      </c>
      <c r="E25" s="16">
        <f>(TAN(RADIANS(C25)))*100</f>
        <v/>
      </c>
      <c r="F25" s="14" t="inlineStr">
        <is>
          <t>%</t>
        </is>
      </c>
      <c r="G25" s="59" t="n"/>
      <c r="H25" s="49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13">
        <f>'Expanded Table'!C41</f>
        <v/>
      </c>
      <c r="C26" s="20">
        <f>'Expanded Table'!E41</f>
        <v/>
      </c>
      <c r="D26" s="14" t="inlineStr">
        <is>
          <t>deg</t>
        </is>
      </c>
      <c r="E26" s="16">
        <f>(TAN(RADIANS(C26)))*100</f>
        <v/>
      </c>
      <c r="F26" s="14" t="inlineStr">
        <is>
          <t>%</t>
        </is>
      </c>
      <c r="G26" s="59" t="n"/>
      <c r="H26" s="49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85" t="n"/>
      <c r="C27" s="85" t="n"/>
      <c r="D27" s="85" t="n"/>
      <c r="E27" s="85" t="n"/>
      <c r="F27" s="85" t="n"/>
      <c r="G27" s="68" t="n"/>
      <c r="H27" s="68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85" t="inlineStr">
        <is>
          <t>Drainage Densities</t>
        </is>
      </c>
      <c r="C28" s="89" t="n"/>
      <c r="D28" s="89" t="n"/>
      <c r="E28" s="89" t="n"/>
      <c r="F28" s="89" t="n"/>
      <c r="G28" s="89" t="n"/>
      <c r="H28" s="89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13">
        <f>'Expanded Table'!C59</f>
        <v/>
      </c>
      <c r="C29" s="67">
        <f>'Expanded Table'!E59</f>
        <v/>
      </c>
      <c r="D29" s="14" t="inlineStr">
        <is>
          <t>km/sq km</t>
        </is>
      </c>
      <c r="E29" s="50" t="n"/>
      <c r="F29" s="49" t="n"/>
      <c r="G29" s="59" t="n"/>
      <c r="H29" s="49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13" t="inlineStr">
        <is>
          <t>Drainage Density - Non Perrnial</t>
        </is>
      </c>
      <c r="C30" s="67">
        <f>('Expanded Table'!E9+'Expanded Table'!E10)/'Expanded Table'!E5</f>
        <v/>
      </c>
      <c r="D30" s="14" t="inlineStr">
        <is>
          <t>km/sq km</t>
        </is>
      </c>
      <c r="E30" s="50" t="n"/>
      <c r="F30" s="49" t="n"/>
      <c r="G30" s="59" t="n"/>
      <c r="H30" s="4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13">
        <f>'Expanded Table'!C62</f>
        <v/>
      </c>
      <c r="C31" s="67">
        <f>'Expanded Table'!E62</f>
        <v/>
      </c>
      <c r="D31" s="14" t="inlineStr">
        <is>
          <t>km/sq km</t>
        </is>
      </c>
      <c r="E31" s="50" t="n"/>
      <c r="F31" s="49" t="n"/>
      <c r="G31" s="59" t="n"/>
      <c r="H31" s="4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49" t="n"/>
      <c r="E32" s="50" t="n"/>
      <c r="F32" s="49" t="n"/>
      <c r="G32" s="50" t="n"/>
      <c r="H32" s="49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85" t="inlineStr">
        <is>
          <t>Morphometrics</t>
        </is>
      </c>
      <c r="C33" s="89" t="n"/>
      <c r="D33" s="89" t="n"/>
      <c r="E33" s="89" t="n"/>
      <c r="F33" s="89" t="n"/>
      <c r="G33" s="89" t="n"/>
      <c r="H33" s="89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13">
        <f>'Expanded Table'!C54</f>
        <v/>
      </c>
      <c r="C34" s="67">
        <f>'Expanded Table'!E54</f>
        <v/>
      </c>
      <c r="D34" s="49" t="n"/>
      <c r="E34" s="50" t="n"/>
      <c r="F34" s="49" t="n"/>
      <c r="G34" s="59" t="n"/>
      <c r="H34" s="49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13">
        <f>'Expanded Table'!C55</f>
        <v/>
      </c>
      <c r="C35" s="67">
        <f>'Expanded Table'!E55</f>
        <v/>
      </c>
      <c r="D35" s="49" t="n"/>
      <c r="E35" s="50" t="n"/>
      <c r="F35" s="49" t="n"/>
      <c r="G35" s="59" t="n"/>
      <c r="H35" s="49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13">
        <f>'Expanded Table'!C56</f>
        <v/>
      </c>
      <c r="C36" s="67">
        <f>'Expanded Table'!E56</f>
        <v/>
      </c>
      <c r="D36" s="49" t="n"/>
      <c r="E36" s="50" t="n"/>
      <c r="F36" s="49" t="n"/>
      <c r="G36" s="59" t="n"/>
      <c r="H36" s="49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13">
        <f>'Expanded Table'!C58</f>
        <v/>
      </c>
      <c r="C37" s="67">
        <f>'Expanded Table'!E58</f>
        <v/>
      </c>
      <c r="D37" s="49" t="n"/>
      <c r="E37" s="50" t="n"/>
      <c r="F37" s="49" t="n"/>
      <c r="G37" s="59" t="n"/>
      <c r="H37" s="49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</sheetData>
  <mergeCells count="7">
    <mergeCell ref="B17:H17"/>
    <mergeCell ref="B13:H13"/>
    <mergeCell ref="B33:H33"/>
    <mergeCell ref="G8:H8"/>
    <mergeCell ref="B3:H3"/>
    <mergeCell ref="B28:H28"/>
    <mergeCell ref="B23:H23"/>
  </mergeCells>
  <pageMargins left="0" right="0" top="0" bottom="0" header="0" footer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value</t>
        </is>
      </c>
      <c r="C1" t="inlineStr">
        <is>
          <t>friendly_name</t>
        </is>
      </c>
      <c r="D1" t="inlineStr">
        <is>
          <t>units</t>
        </is>
      </c>
    </row>
    <row r="2">
      <c r="A2" t="inlineStr">
        <is>
          <t>sum_hucareasqkm</t>
        </is>
      </c>
      <c r="B2" t="n">
        <v>536.0999755859375</v>
      </c>
      <c r="C2" t="inlineStr">
        <is>
          <t>Total Watershed Area</t>
        </is>
      </c>
      <c r="D2" t="inlineStr">
        <is>
          <t>kilometer ** 2</t>
        </is>
      </c>
    </row>
    <row r="3">
      <c r="A3" t="inlineStr">
        <is>
          <t>sum_flowlinelengthperennialkm</t>
        </is>
      </c>
      <c r="B3" t="n">
        <v>295.7478637695312</v>
      </c>
      <c r="C3" t="inlineStr">
        <is>
          <t>Total Perrenial Stream Length</t>
        </is>
      </c>
      <c r="D3" t="inlineStr">
        <is>
          <t>kilometer</t>
        </is>
      </c>
    </row>
    <row r="4">
      <c r="A4" t="inlineStr">
        <is>
          <t>sum_flowlinelengthintermittentkm</t>
        </is>
      </c>
      <c r="B4" t="n">
        <v>75.27106475830078</v>
      </c>
      <c r="C4" t="inlineStr">
        <is>
          <t>Total Intermittent Stream Length</t>
        </is>
      </c>
      <c r="D4" t="inlineStr">
        <is>
          <t>kilometer</t>
        </is>
      </c>
    </row>
    <row r="5">
      <c r="A5" t="inlineStr">
        <is>
          <t>sum_flowlinelengthephemeralkm</t>
        </is>
      </c>
      <c r="B5" t="n">
        <v>491.1747741699219</v>
      </c>
      <c r="C5" t="inlineStr">
        <is>
          <t>Total Ephemeral Stream Length</t>
        </is>
      </c>
      <c r="D5" t="inlineStr">
        <is>
          <t>kilometer</t>
        </is>
      </c>
    </row>
    <row r="6">
      <c r="A6" t="inlineStr">
        <is>
          <t>sum_flowlinelengthcanalskm</t>
        </is>
      </c>
      <c r="B6" t="n">
        <v>21.03793525695801</v>
      </c>
      <c r="C6" t="inlineStr">
        <is>
          <t>Total Canal Length</t>
        </is>
      </c>
      <c r="D6" t="inlineStr">
        <is>
          <t>kilometer</t>
        </is>
      </c>
    </row>
    <row r="7">
      <c r="A7" t="inlineStr">
        <is>
          <t>sum_flowlinelengthallkm</t>
        </is>
      </c>
      <c r="B7" t="n">
        <v>884.9759521484375</v>
      </c>
      <c r="C7" t="inlineStr">
        <is>
          <t>Total Total Stream Length</t>
        </is>
      </c>
      <c r="D7" t="inlineStr">
        <is>
          <t>kilometer</t>
        </is>
      </c>
    </row>
    <row r="8">
      <c r="A8" t="inlineStr">
        <is>
          <t>sum_flowlinefeaturecount</t>
        </is>
      </c>
      <c r="B8" t="n">
        <v>2382</v>
      </c>
      <c r="C8" t="inlineStr">
        <is>
          <t>Total Number of Stream Segments</t>
        </is>
      </c>
      <c r="D8" t="inlineStr">
        <is>
          <t>count</t>
        </is>
      </c>
    </row>
    <row r="9">
      <c r="A9" t="inlineStr">
        <is>
          <t>sum_waterbodyareasqkm</t>
        </is>
      </c>
      <c r="B9" t="n">
        <v>2.285227298736572</v>
      </c>
      <c r="C9" t="inlineStr">
        <is>
          <t>Total Total Waterbody Area</t>
        </is>
      </c>
      <c r="D9" t="inlineStr">
        <is>
          <t>kilometer ** 2</t>
        </is>
      </c>
    </row>
    <row r="10">
      <c r="A10" t="inlineStr">
        <is>
          <t>sum_waterbodyfeaturecount</t>
        </is>
      </c>
      <c r="B10" t="n">
        <v>793</v>
      </c>
      <c r="C10" t="inlineStr">
        <is>
          <t>Total Total count of Waterbodies</t>
        </is>
      </c>
      <c r="D10" t="inlineStr">
        <is>
          <t>count</t>
        </is>
      </c>
    </row>
    <row r="11">
      <c r="A11" t="inlineStr">
        <is>
          <t>sum_waterbodylakespondsareasqkm</t>
        </is>
      </c>
      <c r="B11" t="n">
        <v>2.233129262924194</v>
      </c>
      <c r="C11" t="inlineStr">
        <is>
          <t>Total Lake Area</t>
        </is>
      </c>
      <c r="D11" t="inlineStr">
        <is>
          <t>kilometer ** 2</t>
        </is>
      </c>
    </row>
    <row r="12">
      <c r="A12" t="inlineStr">
        <is>
          <t>sum_waterbodylakespondsfeaturecount</t>
        </is>
      </c>
      <c r="B12" t="n">
        <v>788</v>
      </c>
      <c r="C12" t="inlineStr">
        <is>
          <t>Total Waterbodylakespondsfeaturecount</t>
        </is>
      </c>
      <c r="D12" t="inlineStr"/>
    </row>
    <row r="13">
      <c r="A13" t="inlineStr">
        <is>
          <t>sum_waterbodyreservoirareasqkm</t>
        </is>
      </c>
      <c r="B13" t="n">
        <v>0.04809815064072609</v>
      </c>
      <c r="C13" t="inlineStr">
        <is>
          <t>Total Reservoir Area</t>
        </is>
      </c>
      <c r="D13" t="inlineStr">
        <is>
          <t>kilometer ** 2</t>
        </is>
      </c>
    </row>
    <row r="14">
      <c r="A14" t="inlineStr">
        <is>
          <t>sum_waterbodyreservoirfeaturecount</t>
        </is>
      </c>
      <c r="B14" t="n">
        <v>4</v>
      </c>
      <c r="C14" t="inlineStr">
        <is>
          <t>Total Waterbodyreservoirfeaturecount</t>
        </is>
      </c>
      <c r="D14" t="inlineStr"/>
    </row>
    <row r="15">
      <c r="A15" t="inlineStr">
        <is>
          <t>sum_waterbodyestuariesareasqkm</t>
        </is>
      </c>
      <c r="B15" t="n">
        <v>0</v>
      </c>
      <c r="C15" t="inlineStr">
        <is>
          <t>Total Estuaries Area</t>
        </is>
      </c>
      <c r="D15" t="inlineStr">
        <is>
          <t>kilometer ** 2</t>
        </is>
      </c>
    </row>
    <row r="16">
      <c r="A16" t="inlineStr">
        <is>
          <t>sum_waterbodyestuariesfeaturecount</t>
        </is>
      </c>
      <c r="B16" t="n">
        <v>0</v>
      </c>
      <c r="C16" t="inlineStr">
        <is>
          <t>Total Waterbodyestuariesfeaturecount</t>
        </is>
      </c>
      <c r="D16" t="inlineStr"/>
    </row>
    <row r="17">
      <c r="A17" t="inlineStr">
        <is>
          <t>sum_waterbodyplayaareasqkm</t>
        </is>
      </c>
      <c r="B17" t="n">
        <v>0</v>
      </c>
      <c r="C17" t="inlineStr">
        <is>
          <t>Total Playa Area</t>
        </is>
      </c>
      <c r="D17" t="inlineStr">
        <is>
          <t>kilometer ** 2</t>
        </is>
      </c>
    </row>
    <row r="18">
      <c r="A18" t="inlineStr">
        <is>
          <t>sum_waterbodyplayafeaturecount</t>
        </is>
      </c>
      <c r="B18" t="n">
        <v>0</v>
      </c>
      <c r="C18" t="inlineStr">
        <is>
          <t>Total Waterbodyplayafeaturecount</t>
        </is>
      </c>
      <c r="D18" t="inlineStr"/>
    </row>
    <row r="19">
      <c r="A19" t="inlineStr">
        <is>
          <t>sum_waterbodyswampmarshareasqkm</t>
        </is>
      </c>
      <c r="B19" t="n">
        <v>0.004000000189989805</v>
      </c>
      <c r="C19" t="inlineStr">
        <is>
          <t>Total Swamp/Marsh Area</t>
        </is>
      </c>
      <c r="D19" t="inlineStr">
        <is>
          <t>kilometer ** 2</t>
        </is>
      </c>
    </row>
    <row r="20">
      <c r="A20" t="inlineStr">
        <is>
          <t>sum_waterbodyswampmarshfeaturecount</t>
        </is>
      </c>
      <c r="B20" t="n">
        <v>1</v>
      </c>
      <c r="C20" t="inlineStr">
        <is>
          <t>Total Waterbodyswampmarshfeaturecount</t>
        </is>
      </c>
      <c r="D20" t="inlineStr"/>
    </row>
    <row r="21">
      <c r="A21" t="inlineStr">
        <is>
          <t>sum_waterbodyicesnowareasqkm</t>
        </is>
      </c>
      <c r="B21" t="n">
        <v>0</v>
      </c>
      <c r="C21" t="inlineStr">
        <is>
          <t>Total Ice/Snow Area</t>
        </is>
      </c>
      <c r="D21" t="inlineStr">
        <is>
          <t>kilometer ** 2</t>
        </is>
      </c>
    </row>
    <row r="22">
      <c r="A22" t="inlineStr">
        <is>
          <t>sum_waterbodyicesnowfeaturecount</t>
        </is>
      </c>
      <c r="B22" t="n">
        <v>0</v>
      </c>
      <c r="C22" t="inlineStr">
        <is>
          <t>Total Waterbodyicesnowfeaturecount</t>
        </is>
      </c>
      <c r="D22" t="inlineStr"/>
    </row>
    <row r="23">
      <c r="A23" t="inlineStr">
        <is>
          <t>sum_demsum</t>
        </is>
      </c>
      <c r="B23" t="n">
        <v>14758558720</v>
      </c>
      <c r="C23" t="inlineStr">
        <is>
          <t>Total DEM Spatial Sum of Grid Values</t>
        </is>
      </c>
      <c r="D23" t="inlineStr">
        <is>
          <t>meter</t>
        </is>
      </c>
    </row>
    <row r="24">
      <c r="A24" t="inlineStr">
        <is>
          <t>sum_demcount</t>
        </is>
      </c>
      <c r="B24" t="n">
        <v>6707376</v>
      </c>
      <c r="C24" t="inlineStr">
        <is>
          <t>Total Number of DEM Grid Cells</t>
        </is>
      </c>
      <c r="D24" t="inlineStr">
        <is>
          <t>count</t>
        </is>
      </c>
    </row>
    <row r="25">
      <c r="A25" t="inlineStr">
        <is>
          <t>sum_slopesum</t>
        </is>
      </c>
      <c r="B25" t="n">
        <v>32905382</v>
      </c>
      <c r="C25" t="inlineStr">
        <is>
          <t>Total Slope Spatial Sum of Grid Values</t>
        </is>
      </c>
      <c r="D25" t="inlineStr">
        <is>
          <t>degree</t>
        </is>
      </c>
    </row>
    <row r="26">
      <c r="A26" t="inlineStr">
        <is>
          <t>sum_slopecount</t>
        </is>
      </c>
      <c r="B26" t="n">
        <v>6707376</v>
      </c>
      <c r="C26" t="inlineStr">
        <is>
          <t>Total Number of Slope Grid Cells</t>
        </is>
      </c>
      <c r="D26" t="inlineStr">
        <is>
          <t>count</t>
        </is>
      </c>
    </row>
    <row r="27">
      <c r="A27" t="inlineStr">
        <is>
          <t>sum_precipsum</t>
        </is>
      </c>
      <c r="B27" t="n">
        <v>329077.65625</v>
      </c>
      <c r="C27" t="inlineStr">
        <is>
          <t>Total Precipitation Spatial Sum of Grid Values</t>
        </is>
      </c>
      <c r="D27" t="inlineStr">
        <is>
          <t>millimeter</t>
        </is>
      </c>
    </row>
    <row r="28">
      <c r="A28" t="inlineStr">
        <is>
          <t>sum_precipcount</t>
        </is>
      </c>
      <c r="B28" t="n">
        <v>833</v>
      </c>
      <c r="C28" t="inlineStr">
        <is>
          <t>Total Number of Precipitation Grid Cells</t>
        </is>
      </c>
      <c r="D28" t="inlineStr">
        <is>
          <t>count</t>
        </is>
      </c>
    </row>
    <row r="29">
      <c r="A29" t="inlineStr">
        <is>
          <t>sum_catchmentlength</t>
        </is>
      </c>
      <c r="B29" t="n">
        <v>43.94267272949219</v>
      </c>
      <c r="C29" t="inlineStr">
        <is>
          <t>Total Catchment Length</t>
        </is>
      </c>
      <c r="D29" t="inlineStr">
        <is>
          <t>kilometer</t>
        </is>
      </c>
    </row>
    <row r="30">
      <c r="A30" t="inlineStr">
        <is>
          <t>sum_catchmentarea</t>
        </is>
      </c>
      <c r="B30" t="n">
        <v>536.0999755859375</v>
      </c>
      <c r="C30" t="inlineStr">
        <is>
          <t>Total Catchment Area</t>
        </is>
      </c>
      <c r="D30" t="inlineStr">
        <is>
          <t>kilometer ** 2</t>
        </is>
      </c>
    </row>
    <row r="31">
      <c r="A31" t="inlineStr">
        <is>
          <t>min_demminimum</t>
        </is>
      </c>
      <c r="B31" t="n">
        <v>2017.839233398438</v>
      </c>
      <c r="C31" t="inlineStr">
        <is>
          <t>Minimum DEM Min</t>
        </is>
      </c>
      <c r="D31" t="inlineStr">
        <is>
          <t>meter</t>
        </is>
      </c>
    </row>
    <row r="32">
      <c r="A32" t="inlineStr">
        <is>
          <t>min_slopeminimum</t>
        </is>
      </c>
      <c r="B32" t="n">
        <v>0</v>
      </c>
      <c r="C32" t="inlineStr">
        <is>
          <t>Minimum Slope Min</t>
        </is>
      </c>
      <c r="D32" t="inlineStr">
        <is>
          <t>degree</t>
        </is>
      </c>
    </row>
    <row r="33">
      <c r="A33" t="inlineStr">
        <is>
          <t>min_precipminimum</t>
        </is>
      </c>
      <c r="B33" t="n">
        <v>262.0400085449219</v>
      </c>
      <c r="C33" t="inlineStr">
        <is>
          <t>Minimum Precipitation Spatial Min</t>
        </is>
      </c>
      <c r="D33" t="inlineStr">
        <is>
          <t>millimeter</t>
        </is>
      </c>
    </row>
    <row r="34">
      <c r="A34" t="inlineStr">
        <is>
          <t>min_circularityratio</t>
        </is>
      </c>
      <c r="B34" t="n">
        <v>0.3126264810562134</v>
      </c>
      <c r="C34" t="inlineStr">
        <is>
          <t>Minimum Circularity Ratio</t>
        </is>
      </c>
      <c r="D34" t="inlineStr">
        <is>
          <t>dimensionless</t>
        </is>
      </c>
    </row>
    <row r="35">
      <c r="A35" t="inlineStr">
        <is>
          <t>min_elongationratio</t>
        </is>
      </c>
      <c r="B35" t="n">
        <v>0.5269100069999695</v>
      </c>
      <c r="C35" t="inlineStr">
        <is>
          <t>Minimum Elongation Ratio</t>
        </is>
      </c>
      <c r="D35" t="inlineStr">
        <is>
          <t>dimensionless</t>
        </is>
      </c>
    </row>
    <row r="36">
      <c r="A36" t="inlineStr">
        <is>
          <t>min_formfactor</t>
        </is>
      </c>
      <c r="B36" t="n">
        <v>0.2776341140270233</v>
      </c>
      <c r="C36" t="inlineStr">
        <is>
          <t>Minimum Form Factor</t>
        </is>
      </c>
      <c r="D36" t="inlineStr">
        <is>
          <t>dimensionless</t>
        </is>
      </c>
    </row>
    <row r="37">
      <c r="A37" t="inlineStr">
        <is>
          <t>max_demmaximum</t>
        </is>
      </c>
      <c r="B37" t="n">
        <v>2866.257568359375</v>
      </c>
      <c r="C37" t="inlineStr">
        <is>
          <t>Maximum DEM Max</t>
        </is>
      </c>
      <c r="D37" t="inlineStr">
        <is>
          <t>meter</t>
        </is>
      </c>
    </row>
    <row r="38">
      <c r="A38" t="inlineStr">
        <is>
          <t>max_slopemaximum</t>
        </is>
      </c>
      <c r="B38" t="n">
        <v>59.25882339477539</v>
      </c>
      <c r="C38" t="inlineStr">
        <is>
          <t>Maximum Slope Max</t>
        </is>
      </c>
      <c r="D38" t="inlineStr">
        <is>
          <t>degree</t>
        </is>
      </c>
    </row>
    <row r="39">
      <c r="A39" t="inlineStr">
        <is>
          <t>max_precipmaximum</t>
        </is>
      </c>
      <c r="B39" t="n">
        <v>782.5999755859375</v>
      </c>
      <c r="C39" t="inlineStr">
        <is>
          <t>Maximum Precipitation Spatial Max</t>
        </is>
      </c>
      <c r="D39" t="inlineStr">
        <is>
          <t>millimeter</t>
        </is>
      </c>
    </row>
    <row r="40">
      <c r="A40" t="inlineStr">
        <is>
          <t>countdistinct_huc</t>
        </is>
      </c>
      <c r="B40" t="n">
        <v>1</v>
      </c>
      <c r="C40" t="inlineStr">
        <is>
          <t>Count distinct HUC10</t>
        </is>
      </c>
      <c r="D40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2026-07-28T19:27:04Z</dcterms:created>
  <dcterms:modified xmlns:dcterms="http://purl.org/dc/terms/" xmlns:xsi="http://www.w3.org/2001/XMLSchema-instance" xsi:type="dcterms:W3CDTF">2026-07-28T22:01:50Z</dcterms:modified>
</cp:coreProperties>
</file>